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<sst xmlns="http://schemas.openxmlformats.org/spreadsheetml/2006/main" count="77" uniqueCount="46">
  <si>
    <t>线上评分</t>
  </si>
  <si>
    <t>陈欣睿</t>
  </si>
  <si>
    <t>周凯书：</t>
  </si>
  <si>
    <t>费筠惠</t>
  </si>
  <si>
    <t>柴敬允</t>
  </si>
  <si>
    <t>陈雯丽</t>
  </si>
  <si>
    <t>姚佳和</t>
  </si>
  <si>
    <t>蒋明达</t>
  </si>
  <si>
    <t>罗舒悦</t>
  </si>
  <si>
    <t>施博文</t>
  </si>
  <si>
    <t>王雅昕</t>
  </si>
  <si>
    <t>李昕慧</t>
  </si>
  <si>
    <t>关云萱</t>
  </si>
  <si>
    <t>丰林婧</t>
  </si>
  <si>
    <t>池沛</t>
  </si>
  <si>
    <t>李笑冉</t>
  </si>
  <si>
    <t>卞斌岩</t>
  </si>
  <si>
    <t>曹诗岩</t>
  </si>
  <si>
    <t>鲁勇序</t>
  </si>
  <si>
    <t>王裕粟</t>
  </si>
  <si>
    <t>张常捷</t>
  </si>
  <si>
    <t>徐皓</t>
  </si>
  <si>
    <t>张鑫垚</t>
  </si>
  <si>
    <t>许鸣轩</t>
  </si>
  <si>
    <t>谈歆玥</t>
  </si>
  <si>
    <t>施泠辰</t>
  </si>
  <si>
    <t>王禹润</t>
  </si>
  <si>
    <t>仇雯琦</t>
  </si>
  <si>
    <t>赵嘉美</t>
  </si>
  <si>
    <t>朱康裕</t>
  </si>
  <si>
    <t>夏瑀</t>
  </si>
  <si>
    <t>平均分</t>
  </si>
  <si>
    <t>折算分</t>
  </si>
  <si>
    <t>绩效评分</t>
  </si>
  <si>
    <t>绩效分</t>
  </si>
  <si>
    <t>现场评分</t>
  </si>
  <si>
    <t>李锦文</t>
  </si>
  <si>
    <t>时间分</t>
  </si>
  <si>
    <t>总分</t>
  </si>
  <si>
    <t>排名</t>
  </si>
  <si>
    <t>第一名</t>
  </si>
  <si>
    <t>第二名</t>
  </si>
  <si>
    <t>第三名</t>
  </si>
  <si>
    <t>第四名</t>
  </si>
  <si>
    <t>第五名</t>
  </si>
  <si>
    <t>第六名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</si>
</sst>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0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 applyProtection="1">
      <alignment vertical="center"/>
    </xf>
    <xf numFmtId="176" fontId="0" fillId="0" borderId="1" xfId="0" applyNumberFormat="1" applyBorder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 applyProtection="1">
      <alignment vertical="center"/>
      <protection locked="0"/>
    </xf>
    <xf numFmtId="0" fontId="0" fillId="0" borderId="1" xfId="0" applyNumberFormat="1" applyFont="1" applyFill="1" applyBorder="1" applyAlignment="1" applyProtection="1">
      <alignment vertical="center"/>
      <protection locked="0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abSelected="1" zoomScale="85" zoomScaleNormal="85" topLeftCell="A13" workbookViewId="0">
      <selection activeCell="T24" sqref="T24"/>
    </sheetView>
  </sheetViews>
  <sheetFormatPr defaultColWidth="8.72727272727273" defaultRowHeight="14"/>
  <cols>
    <col min="2" max="6" width="12.8181818181818"/>
    <col min="8" max="10" width="12.8181818181818"/>
    <col min="13" max="14" width="12.8181818181818"/>
    <col min="16" max="20" width="12.8181818181818"/>
  </cols>
  <sheetData>
    <row r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3"/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</row>
    <row r="5" spans="1:19">
      <c r="A5" s="4" t="s">
        <v>19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</row>
    <row r="6" spans="1:19">
      <c r="A6" s="4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>
      <c r="A7" s="4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>
      <c r="A8" s="4" t="s">
        <v>22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>
      <c r="A9" s="4" t="s">
        <v>23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>
      <c r="A10" s="4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>
      <c r="A11" s="4" t="s">
        <v>25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>
      <c r="A12" s="4" t="s">
        <v>26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>
      <c r="A13" s="4" t="s">
        <v>27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>
      <c r="A14" s="4" t="s">
        <v>28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>
      <c r="A15" s="4" t="s">
        <v>29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>
      <c r="A16" s="4" t="s">
        <v>30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20">
      <c r="A17" s="3" t="s">
        <v>31</v>
      </c>
      <c r="B17" s="7">
        <f>AVERAGE(B5:B16)</f>
        <v>0</v>
      </c>
      <c r="C17" s="7">
        <f t="shared" ref="B17:S17" si="0">AVERAGE(C5:C16)</f>
        <v>0</v>
      </c>
      <c r="D17" s="7">
        <f t="shared" si="0"/>
        <v>0</v>
      </c>
      <c r="E17" s="7">
        <f t="shared" si="0"/>
        <v>0</v>
      </c>
      <c r="F17" s="7">
        <f t="shared" si="0"/>
        <v>0</v>
      </c>
      <c r="G17" s="7">
        <f t="shared" si="0"/>
        <v>0</v>
      </c>
      <c r="H17" s="7">
        <f t="shared" si="0"/>
        <v>0</v>
      </c>
      <c r="I17" s="7">
        <f t="shared" si="0"/>
        <v>0</v>
      </c>
      <c r="J17" s="7">
        <f t="shared" si="0"/>
        <v>0</v>
      </c>
      <c r="K17" s="7">
        <f t="shared" si="0"/>
        <v>0</v>
      </c>
      <c r="L17" s="7">
        <f t="shared" si="0"/>
        <v>0</v>
      </c>
      <c r="M17" s="7">
        <f t="shared" si="0"/>
        <v>0</v>
      </c>
      <c r="N17" s="7">
        <f t="shared" si="0"/>
        <v>0</v>
      </c>
      <c r="O17" s="7">
        <f t="shared" si="0"/>
        <v>0</v>
      </c>
      <c r="P17" s="7">
        <f t="shared" si="0"/>
        <v>0</v>
      </c>
      <c r="Q17" s="7">
        <f t="shared" si="0"/>
        <v>0</v>
      </c>
      <c r="R17" s="7">
        <f t="shared" si="0"/>
        <v>0</v>
      </c>
      <c r="S17" s="7">
        <f t="shared" si="0"/>
        <v>0</v>
      </c>
    </row>
    <row r="18" spans="1:20">
      <c r="A18" s="3" t="s">
        <v>32</v>
      </c>
      <c r="B18" s="8">
        <f>B17*0.3</f>
        <v>0</v>
      </c>
      <c r="C18" s="8">
        <f t="shared" ref="C18:S18" si="1">C17*0.3</f>
        <v>0</v>
      </c>
      <c r="D18" s="8">
        <f t="shared" si="1"/>
        <v>0</v>
      </c>
      <c r="E18" s="8">
        <f t="shared" si="1"/>
        <v>0</v>
      </c>
      <c r="F18" s="8">
        <f t="shared" si="1"/>
        <v>0</v>
      </c>
      <c r="G18" s="8">
        <f t="shared" si="1"/>
        <v>0</v>
      </c>
      <c r="H18" s="8">
        <f t="shared" si="1"/>
        <v>0</v>
      </c>
      <c r="I18" s="8">
        <f t="shared" si="1"/>
        <v>0</v>
      </c>
      <c r="J18" s="8">
        <f t="shared" si="1"/>
        <v>0</v>
      </c>
      <c r="K18" s="8">
        <f t="shared" si="1"/>
        <v>0</v>
      </c>
      <c r="L18" s="8">
        <f t="shared" si="1"/>
        <v>0</v>
      </c>
      <c r="M18" s="8">
        <f t="shared" si="1"/>
        <v>0</v>
      </c>
      <c r="N18" s="8">
        <f t="shared" si="1"/>
        <v>0</v>
      </c>
      <c r="O18" s="8">
        <f t="shared" si="1"/>
        <v>0</v>
      </c>
      <c r="P18" s="8">
        <f t="shared" si="1"/>
        <v>0</v>
      </c>
      <c r="Q18" s="8">
        <f t="shared" si="1"/>
        <v>0</v>
      </c>
      <c r="R18" s="8">
        <f t="shared" si="1"/>
        <v>0</v>
      </c>
      <c r="S18" s="8">
        <f t="shared" si="1"/>
        <v>0</v>
      </c>
      <c r="T18">
        <f>AVERAGE(B18:S18)</f>
        <v>0</v>
      </c>
    </row>
    <row r="19" s="1" customFormat="1" spans="1:2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="1" customFormat="1" spans="1: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2" t="s">
        <v>33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20">
      <c r="A24" s="3" t="s">
        <v>34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10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>
        <f>AVERAGE(B24:S24)</f>
        <v>0</v>
      </c>
    </row>
    <row r="25" s="1" customFormat="1" spans="1:20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2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0">
      <c r="A29" s="3"/>
      <c r="B29" s="4" t="s">
        <v>1</v>
      </c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5" t="s">
        <v>10</v>
      </c>
      <c r="L29" s="4" t="s">
        <v>11</v>
      </c>
      <c r="M29" s="4" t="s">
        <v>12</v>
      </c>
      <c r="N29" s="4" t="s">
        <v>13</v>
      </c>
      <c r="O29" s="4" t="s">
        <v>14</v>
      </c>
      <c r="P29" s="4" t="s">
        <v>15</v>
      </c>
      <c r="Q29" s="4" t="s">
        <v>16</v>
      </c>
      <c r="R29" s="4" t="s">
        <v>17</v>
      </c>
      <c r="S29" s="4" t="s">
        <v>18</v>
      </c>
    </row>
    <row r="30" spans="1:20">
      <c r="A30" s="11" t="s">
        <v>19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</row>
    <row r="31" spans="1:20">
      <c r="A31" s="11" t="s">
        <v>36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20">
      <c r="A32" s="11" t="s">
        <v>21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>
      <c r="A33" s="11" t="s">
        <v>22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>
      <c r="A34" s="11" t="s">
        <v>23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>
      <c r="A35" s="11" t="s">
        <v>24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>
      <c r="A36" s="11" t="s">
        <v>25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>
      <c r="A37" s="11" t="s">
        <v>26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>
      <c r="A38" s="11" t="s">
        <v>27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>
      <c r="A39" s="11" t="s">
        <v>28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>
      <c r="A40" s="11" t="s">
        <v>29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>
      <c r="A41" s="11" t="s">
        <v>30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>
      <c r="A42" s="3" t="s">
        <v>37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3" t="s">
        <v>31</v>
      </c>
      <c r="B43" s="4">
        <f>AVERAGE(B30:B41)+B42</f>
        <v>0</v>
      </c>
      <c r="C43" s="4">
        <f t="shared" ref="C43:S43" si="2">AVERAGE(C30:C41)+C42</f>
        <v>0</v>
      </c>
      <c r="D43" s="4">
        <f t="shared" si="2"/>
        <v>0</v>
      </c>
      <c r="E43" s="4">
        <f t="shared" si="2"/>
        <v>0</v>
      </c>
      <c r="F43" s="4">
        <f t="shared" si="2"/>
        <v>0</v>
      </c>
      <c r="G43" s="4">
        <f t="shared" si="2"/>
        <v>0</v>
      </c>
      <c r="H43" s="4">
        <f t="shared" si="2"/>
        <v>0</v>
      </c>
      <c r="I43" s="4">
        <f t="shared" si="2"/>
        <v>0</v>
      </c>
      <c r="J43" s="4">
        <f t="shared" si="2"/>
        <v>0</v>
      </c>
      <c r="K43" s="4">
        <f t="shared" si="2"/>
        <v>0</v>
      </c>
      <c r="L43" s="4">
        <f t="shared" si="2"/>
        <v>0</v>
      </c>
      <c r="M43" s="4">
        <f t="shared" si="2"/>
        <v>0</v>
      </c>
      <c r="N43" s="4">
        <f t="shared" si="2"/>
        <v>0</v>
      </c>
      <c r="O43" s="4">
        <f t="shared" si="2"/>
        <v>0</v>
      </c>
      <c r="P43" s="4">
        <f t="shared" si="2"/>
        <v>0</v>
      </c>
      <c r="Q43" s="4">
        <f t="shared" si="2"/>
        <v>0</v>
      </c>
      <c r="R43" s="4">
        <f t="shared" si="2"/>
        <v>0</v>
      </c>
      <c r="S43" s="4">
        <f t="shared" si="2"/>
        <v>0</v>
      </c>
    </row>
    <row r="44" spans="1:19">
      <c r="A44" s="3" t="s">
        <v>32</v>
      </c>
      <c r="B44" s="13">
        <f>B43*0.6</f>
        <v>0</v>
      </c>
      <c r="C44" s="13">
        <f t="shared" ref="C44:S44" si="3">C43*0.6</f>
        <v>0</v>
      </c>
      <c r="D44" s="13">
        <f t="shared" si="3"/>
        <v>0</v>
      </c>
      <c r="E44" s="13">
        <f t="shared" si="3"/>
        <v>0</v>
      </c>
      <c r="F44" s="13">
        <f t="shared" si="3"/>
        <v>0</v>
      </c>
      <c r="G44" s="13">
        <f t="shared" si="3"/>
        <v>0</v>
      </c>
      <c r="H44" s="13">
        <f t="shared" si="3"/>
        <v>0</v>
      </c>
      <c r="I44" s="13">
        <f t="shared" si="3"/>
        <v>0</v>
      </c>
      <c r="J44" s="13">
        <f t="shared" si="3"/>
        <v>0</v>
      </c>
      <c r="K44" s="13">
        <f t="shared" si="3"/>
        <v>0</v>
      </c>
      <c r="L44" s="13">
        <f t="shared" si="3"/>
        <v>0</v>
      </c>
      <c r="M44" s="13">
        <f t="shared" si="3"/>
        <v>0</v>
      </c>
      <c r="N44" s="13">
        <f t="shared" si="3"/>
        <v>0</v>
      </c>
      <c r="O44" s="13">
        <f t="shared" si="3"/>
        <v>0</v>
      </c>
      <c r="P44" s="13">
        <f t="shared" si="3"/>
        <v>0</v>
      </c>
      <c r="Q44" s="13">
        <f t="shared" si="3"/>
        <v>0</v>
      </c>
      <c r="R44" s="13">
        <f t="shared" si="3"/>
        <v>0</v>
      </c>
      <c r="S44" s="13">
        <f t="shared" si="3"/>
        <v>0</v>
      </c>
    </row>
    <row r="47" spans="1:19">
      <c r="A47" t="s">
        <v>38</v>
      </c>
      <c r="B47" s="14">
        <f>B44+B24+B18</f>
        <v>0</v>
      </c>
      <c r="C47" s="14">
        <f t="shared" ref="C47:S47" si="4">C44+C24+C18</f>
        <v>0</v>
      </c>
      <c r="D47" s="14">
        <f t="shared" si="4"/>
        <v>0</v>
      </c>
      <c r="E47" s="14">
        <f t="shared" si="4"/>
        <v>0</v>
      </c>
      <c r="F47" s="14">
        <f t="shared" si="4"/>
        <v>0</v>
      </c>
      <c r="G47" s="14">
        <f t="shared" si="4"/>
        <v>0</v>
      </c>
      <c r="H47" s="14">
        <f t="shared" si="4"/>
        <v>0</v>
      </c>
      <c r="I47" s="14">
        <f t="shared" si="4"/>
        <v>0</v>
      </c>
      <c r="J47" s="14">
        <f t="shared" si="4"/>
        <v>0</v>
      </c>
      <c r="K47" s="14">
        <f t="shared" si="4"/>
        <v>0</v>
      </c>
      <c r="L47" s="14">
        <f t="shared" si="4"/>
        <v>0</v>
      </c>
      <c r="M47" s="14">
        <f t="shared" si="4"/>
        <v>0</v>
      </c>
      <c r="N47" s="14">
        <f t="shared" si="4"/>
        <v>0</v>
      </c>
      <c r="O47" s="14">
        <f t="shared" si="4"/>
        <v>0</v>
      </c>
      <c r="P47" s="14">
        <f t="shared" si="4"/>
        <v>0</v>
      </c>
      <c r="Q47" s="14">
        <f t="shared" si="4"/>
        <v>0</v>
      </c>
      <c r="R47" s="14">
        <f t="shared" si="4"/>
        <v>0</v>
      </c>
      <c r="S47" s="14">
        <f t="shared" si="4"/>
        <v>0</v>
      </c>
    </row>
    <row r="48" spans="1:19">
      <c r="A48" t="s">
        <v>39</v>
      </c>
      <c r="B48">
        <f>RANK(B47,B47:S47)</f>
        <v>1</v>
      </c>
      <c r="C48">
        <f>RANK(C47,B47:S47)</f>
        <v>1</v>
      </c>
      <c r="D48">
        <f>RANK(D47,B47:S47)</f>
        <v>1</v>
      </c>
      <c r="E48">
        <f>RANK(E47,B47:S47)</f>
        <v>1</v>
      </c>
      <c r="F48">
        <f>RANK(F47,B47:S47)</f>
        <v>1</v>
      </c>
      <c r="G48">
        <f>RANK(G47,B47:S47)</f>
        <v>1</v>
      </c>
      <c r="H48">
        <f>RANK(H47,B47:S47)</f>
        <v>1</v>
      </c>
      <c r="I48">
        <f>RANK(I47,B47:S47)</f>
        <v>1</v>
      </c>
      <c r="J48">
        <f>RANK(J47,B47:S47)</f>
        <v>1</v>
      </c>
      <c r="K48">
        <f>RANK(K47,B47:S47)</f>
        <v>1</v>
      </c>
      <c r="L48">
        <f>RANK(L47,B47:S47)</f>
        <v>1</v>
      </c>
      <c r="M48">
        <f>RANK(M47,B47:S47)</f>
        <v>1</v>
      </c>
      <c r="N48">
        <f>RANK(N47,B47:S47)</f>
        <v>1</v>
      </c>
      <c r="O48">
        <f>RANK(O47,B47:S47)</f>
        <v>1</v>
      </c>
      <c r="P48">
        <f>RANK(P47,B47:S47)</f>
        <v>1</v>
      </c>
      <c r="Q48">
        <f>RANK(Q47,B47:S47)</f>
        <v>1</v>
      </c>
      <c r="R48">
        <f>RANK(R47,B47:S47)</f>
        <v>1</v>
      </c>
      <c r="S48">
        <f>RANK(S47,B47:S47)</f>
        <v>1</v>
      </c>
    </row>
    <row r="50" spans="2:7">
      <c r="B50" s="15" t="s">
        <v>40</v>
      </c>
      <c r="C50" s="15" t="s">
        <v>41</v>
      </c>
      <c r="D50" s="15" t="s">
        <v>42</v>
      </c>
      <c r="E50" s="15" t="s">
        <v>43</v>
      </c>
      <c r="F50" s="15" t="s">
        <v>44</v>
      </c>
      <c r="G50" s="15" t="s">
        <v>45</v>
      </c>
    </row>
    <row r="51" spans="2:7">
      <c r="B51" s="16" t="str" cm="1">
        <f t="array" ref="B51:G51">_xlfn.TAKE(_xlfn.SORTBY(B4:S4,B47:S47,-1),,6)</f>
        <v>陈欣睿</v>
      </c>
      <c r="C51" s="16" t="str">
        <v>周凯书：</v>
      </c>
      <c r="D51" s="16" t="str">
        <v>费筠惠</v>
      </c>
      <c r="E51" s="16" t="str">
        <v>柴敬允</v>
      </c>
      <c r="F51" s="16" t="str">
        <v>陈雯丽</v>
      </c>
      <c r="G51" s="16" t="str">
        <v>姚佳和</v>
      </c>
    </row>
  </sheetData>
  <sheetProtection selectLockedCells="1"/>
  <mergeCells count="3">
    <mergeCell ref="A1:S3"/>
    <mergeCell ref="A21:S23"/>
    <mergeCell ref="A26:S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yitian998</dc:creator>
  <cp:lastModifiedBy>思华年</cp:lastModifiedBy>
  <dcterms:created xsi:type="dcterms:W3CDTF">2025-04-14T12:03:00Z</dcterms:created>
  <dcterms:modified xsi:type="dcterms:W3CDTF">2026-04-04T14:49:00Z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0421802A3931412999F59A6A0422D99A_11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