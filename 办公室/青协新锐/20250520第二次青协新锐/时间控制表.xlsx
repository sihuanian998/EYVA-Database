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3"/>
  </bookViews>
  <sheets>
    <sheet name="使用指南(必看) " sheetId="8" r:id="rId1"/>
    <sheet name="甘特图样式1" sheetId="2" r:id="rId2"/>
    <sheet name="甘特图样式2" sheetId="4" r:id="rId3"/>
    <sheet name="甘特图样式3" sheetId="5" r:id="rId4"/>
    <sheet name="甘特图样式4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<sst xmlns="http://schemas.openxmlformats.org/spreadsheetml/2006/main" count="315" uniqueCount="86">
  <si>
    <t>年份</t>
  </si>
  <si>
    <t>类型</t>
  </si>
  <si>
    <t>数量</t>
  </si>
  <si>
    <t>比例</t>
  </si>
  <si>
    <t>月份</t>
  </si>
  <si>
    <t>未开始</t>
  </si>
  <si>
    <t>今天</t>
  </si>
  <si>
    <t>进行中</t>
  </si>
  <si>
    <t>未逾期</t>
  </si>
  <si>
    <t>已完成</t>
  </si>
  <si>
    <t>已逾期</t>
  </si>
  <si>
    <t>合计</t>
  </si>
  <si>
    <t>项目计划</t>
  </si>
  <si>
    <t>项目进度</t>
  </si>
  <si>
    <t>序号</t>
  </si>
  <si>
    <t>项目名称</t>
  </si>
  <si>
    <t>任务</t>
  </si>
  <si>
    <t>开始日期</t>
  </si>
  <si>
    <t>结束日期</t>
  </si>
  <si>
    <t>天数</t>
  </si>
  <si>
    <t>完成进度</t>
  </si>
  <si>
    <t>当前状态</t>
  </si>
  <si>
    <t>是否
完成</t>
  </si>
  <si>
    <t>是否超期</t>
  </si>
  <si>
    <t>桌面研究</t>
  </si>
  <si>
    <t>品牌调研</t>
  </si>
  <si>
    <t>竞品分析</t>
  </si>
  <si>
    <t>往期活动梳理</t>
  </si>
  <si>
    <t>企业微信引流</t>
  </si>
  <si>
    <t>门店引流布局</t>
  </si>
  <si>
    <t>营销包装</t>
  </si>
  <si>
    <t>物料准备</t>
  </si>
  <si>
    <t>渠道对接</t>
  </si>
  <si>
    <t>试点测试</t>
  </si>
  <si>
    <t>测试安排</t>
  </si>
  <si>
    <t>数据监控</t>
  </si>
  <si>
    <t>社群运营</t>
  </si>
  <si>
    <t>优化迭代</t>
  </si>
  <si>
    <t>裂变活动</t>
  </si>
  <si>
    <t>裂变方案</t>
  </si>
  <si>
    <t>活动筹备</t>
  </si>
  <si>
    <t>上线迭代</t>
  </si>
  <si>
    <t>主/分</t>
  </si>
  <si>
    <t>关键内容</t>
  </si>
  <si>
    <t>主</t>
  </si>
  <si>
    <t>调研诊断</t>
  </si>
  <si>
    <t>分</t>
  </si>
  <si>
    <t>第1周</t>
  </si>
  <si>
    <t>第2周</t>
  </si>
  <si>
    <t>第3周</t>
  </si>
  <si>
    <t>第4周</t>
  </si>
  <si>
    <t>第5周</t>
  </si>
  <si>
    <t>第6周</t>
  </si>
  <si>
    <t>第7周</t>
  </si>
  <si>
    <t>负责人</t>
  </si>
  <si>
    <t>蒋明达</t>
  </si>
  <si>
    <t>PPT收集</t>
  </si>
  <si>
    <t>PPT制作</t>
  </si>
  <si>
    <t>评分细则</t>
  </si>
  <si>
    <t>联络</t>
  </si>
  <si>
    <t>宋嘉美</t>
  </si>
  <si>
    <t>线上评分表</t>
  </si>
  <si>
    <t>线下评分表</t>
  </si>
  <si>
    <t>座位表</t>
  </si>
  <si>
    <t>观众报名表</t>
  </si>
  <si>
    <t>签到表</t>
  </si>
  <si>
    <t>反馈表</t>
  </si>
  <si>
    <t>龙奕帆</t>
  </si>
  <si>
    <t>策划案调整</t>
  </si>
  <si>
    <t>线上材料收集</t>
  </si>
  <si>
    <t>贾开昊</t>
  </si>
  <si>
    <t>证书制作</t>
  </si>
  <si>
    <t>物资表制作</t>
  </si>
  <si>
    <t>通知撰写</t>
  </si>
  <si>
    <t>胡天义</t>
  </si>
  <si>
    <t>申请表调整</t>
  </si>
  <si>
    <t>推文素材收集</t>
  </si>
  <si>
    <t>崔珈苧</t>
  </si>
  <si>
    <t>主持稿准备</t>
  </si>
  <si>
    <t>通知干事、部长</t>
  </si>
  <si>
    <t>申请表收集</t>
  </si>
  <si>
    <t>个人介绍打包</t>
  </si>
  <si>
    <t>评分</t>
  </si>
  <si>
    <t>评分细则修订</t>
  </si>
  <si>
    <t>线上打分</t>
  </si>
  <si>
    <t>财务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</si>
</sst>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_);[Red]\(0\)"/>
    <numFmt numFmtId="178" formatCode="d"/>
  </numFmts>
  <fonts count="40">
    <font>
      <sz val="11"/>
      <color theme="1"/>
      <name val="等线"/>
      <charset val="134"/>
      <scheme val="minor"/>
    </font>
    <font>
      <sz val="11"/>
      <color theme="1"/>
      <name val="思源黑体 Medium"/>
      <charset val="134"/>
    </font>
    <font>
      <b/>
      <sz val="11"/>
      <color theme="1"/>
      <name val="思源黑体 Medium"/>
      <charset val="134"/>
    </font>
    <font>
      <sz val="12"/>
      <color theme="1"/>
      <name val="思源黑体 Medium"/>
      <charset val="134"/>
    </font>
    <font>
      <sz val="10"/>
      <color theme="1"/>
      <name val="思源黑体 Medium"/>
      <charset val="134"/>
    </font>
    <font>
      <b/>
      <sz val="14"/>
      <color theme="1"/>
      <name val="思源黑体 Heavy"/>
      <charset val="134"/>
    </font>
    <font>
      <b/>
      <sz val="14"/>
      <color theme="1"/>
      <name val="思源黑体 Medium"/>
      <charset val="134"/>
    </font>
    <font>
      <sz val="11"/>
      <color theme="0"/>
      <name val="思源黑体 Medium"/>
      <charset val="134"/>
    </font>
    <font>
      <b/>
      <sz val="12"/>
      <color theme="1"/>
      <name val="思源黑体 Medium"/>
      <charset val="134"/>
    </font>
    <font>
      <sz val="10"/>
      <color theme="1"/>
      <name val="宋体"/>
      <charset val="134"/>
    </font>
    <font>
      <b/>
      <sz val="12"/>
      <color theme="1" tint="0.14996795556505"/>
      <name val="思源黑体 Medium"/>
      <charset val="134"/>
    </font>
    <font>
      <b/>
      <sz val="11"/>
      <color theme="1" tint="0.14996795556505"/>
      <name val="思源黑体 Medium"/>
      <charset val="134"/>
    </font>
    <font>
      <sz val="11"/>
      <color theme="1" tint="0.14996795556505"/>
      <name val="思源黑体 Medium"/>
      <charset val="134"/>
    </font>
    <font>
      <sz val="11"/>
      <name val="思源黑体 Medium"/>
      <charset val="134"/>
    </font>
    <font>
      <sz val="11"/>
      <color theme="1" tint="0.14996795556505"/>
      <name val="思源黑体 Heavy"/>
      <charset val="134"/>
    </font>
    <font>
      <b/>
      <sz val="11"/>
      <name val="思源黑体 Medium"/>
      <charset val="134"/>
    </font>
    <font>
      <b/>
      <sz val="11"/>
      <color theme="1" tint="0.14996795556505"/>
      <name val="思源黑体 Heavy"/>
      <charset val="134"/>
    </font>
    <font>
      <sz val="13"/>
      <name val="思源黑体 Heavy"/>
      <charset val="134"/>
    </font>
    <font>
      <sz val="13"/>
      <color theme="1"/>
      <name val="思源黑体 Heavy"/>
      <charset val="134"/>
    </font>
    <font>
      <sz val="11"/>
      <color theme="1"/>
      <name val="宋体"/>
      <charset val="134"/>
    </font>
    <font>
      <sz val="11"/>
      <color theme="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9DDE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1" tint="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1" tint="0.249946592608417"/>
      </top>
      <bottom style="thin">
        <color theme="2" tint="-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2" tint="-0.249946592608417"/>
      </top>
      <bottom style="thin">
        <color theme="1" tint="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1" tint="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1" tint="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2" tint="-0.249946592608417"/>
      </top>
      <bottom style="thin">
        <color theme="1" tint="0.249946592608417"/>
      </bottom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1" tint="0.249946592608417"/>
      </left>
      <right style="thin">
        <color theme="2" tint="-0.249946592608417"/>
      </right>
      <top style="thin">
        <color theme="1" tint="0.249946592608417"/>
      </top>
      <bottom/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1" tint="0.249946592608417"/>
      </top>
      <bottom/>
      <diagonal/>
    </border>
    <border>
      <left style="thin">
        <color theme="1" tint="0.249946592608417"/>
      </left>
      <right style="thin">
        <color theme="2" tint="-0.249946592608417"/>
      </right>
      <top/>
      <bottom/>
      <diagonal/>
    </border>
    <border>
      <left style="thin">
        <color theme="2" tint="-0.249946592608417"/>
      </left>
      <right style="thin">
        <color theme="2" tint="-0.249946592608417"/>
      </right>
      <top/>
      <bottom/>
      <diagonal/>
    </border>
    <border>
      <left style="thin">
        <color theme="1" tint="0.249946592608417"/>
      </left>
      <right style="thin">
        <color theme="2" tint="-0.249946592608417"/>
      </right>
      <top/>
      <bottom style="thin">
        <color theme="1" tint="0.249946592608417"/>
      </bottom>
      <diagonal/>
    </border>
    <border>
      <left style="thin">
        <color theme="2" tint="-0.249946592608417"/>
      </left>
      <right style="thin">
        <color theme="2" tint="-0.249946592608417"/>
      </right>
      <top/>
      <bottom style="thin">
        <color theme="1" tint="0.249946592608417"/>
      </bottom>
      <diagonal/>
    </border>
    <border>
      <left style="thin">
        <color theme="2" tint="-0.249946592608417"/>
      </left>
      <right style="thin">
        <color theme="1" tint="0.249946592608417"/>
      </right>
      <top style="thin">
        <color theme="2" tint="-0.249946592608417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5" borderId="23" applyNumberFormat="0" applyAlignment="0" applyProtection="0">
      <alignment vertical="center"/>
    </xf>
    <xf numFmtId="0" fontId="30" fillId="3" borderId="24" applyNumberFormat="0" applyAlignment="0" applyProtection="0">
      <alignment vertical="center"/>
    </xf>
    <xf numFmtId="0" fontId="31" fillId="3" borderId="23" applyNumberFormat="0" applyAlignment="0" applyProtection="0">
      <alignment vertical="center"/>
    </xf>
    <xf numFmtId="0" fontId="32" fillId="6" borderId="25" applyNumberFormat="0" applyAlignment="0" applyProtection="0">
      <alignment vertical="center"/>
    </xf>
    <xf numFmtId="0" fontId="33" fillId="0" borderId="26" applyNumberFormat="0" applyFill="0" applyAlignment="0" applyProtection="0">
      <alignment vertical="center"/>
    </xf>
    <xf numFmtId="0" fontId="34" fillId="0" borderId="27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0" fillId="0" borderId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2" xfId="3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76" fontId="8" fillId="3" borderId="2" xfId="3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3" fillId="0" borderId="2" xfId="0" applyNumberFormat="1" applyFont="1" applyBorder="1" applyAlignment="1">
      <alignment horizontal="center" vertical="center"/>
    </xf>
    <xf numFmtId="177" fontId="13" fillId="0" borderId="2" xfId="0" applyNumberFormat="1" applyFont="1" applyBorder="1" applyAlignment="1">
      <alignment horizontal="center" vertical="center"/>
    </xf>
    <xf numFmtId="9" fontId="12" fillId="0" borderId="2" xfId="3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14" fontId="12" fillId="0" borderId="7" xfId="0" applyNumberFormat="1" applyFont="1" applyBorder="1" applyAlignment="1">
      <alignment horizontal="center" vertical="center"/>
    </xf>
    <xf numFmtId="14" fontId="13" fillId="0" borderId="7" xfId="0" applyNumberFormat="1" applyFont="1" applyBorder="1" applyAlignment="1">
      <alignment horizontal="center" vertical="center"/>
    </xf>
    <xf numFmtId="177" fontId="13" fillId="0" borderId="7" xfId="0" applyNumberFormat="1" applyFont="1" applyBorder="1" applyAlignment="1">
      <alignment horizontal="center" vertical="center"/>
    </xf>
    <xf numFmtId="9" fontId="12" fillId="0" borderId="7" xfId="3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4" fontId="11" fillId="3" borderId="4" xfId="0" applyNumberFormat="1" applyFont="1" applyFill="1" applyBorder="1" applyAlignment="1">
      <alignment horizontal="center" vertical="center"/>
    </xf>
    <xf numFmtId="14" fontId="15" fillId="3" borderId="4" xfId="0" applyNumberFormat="1" applyFont="1" applyFill="1" applyBorder="1" applyAlignment="1">
      <alignment horizontal="center" vertical="center"/>
    </xf>
    <xf numFmtId="177" fontId="15" fillId="3" borderId="4" xfId="0" applyNumberFormat="1" applyFont="1" applyFill="1" applyBorder="1" applyAlignment="1">
      <alignment horizontal="center" vertical="center"/>
    </xf>
    <xf numFmtId="9" fontId="11" fillId="3" borderId="4" xfId="3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6" fontId="18" fillId="0" borderId="0" xfId="0" applyNumberFormat="1" applyFont="1" applyAlignment="1">
      <alignment horizontal="center" vertical="center"/>
    </xf>
    <xf numFmtId="176" fontId="18" fillId="0" borderId="0" xfId="3" applyNumberFormat="1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78" fontId="10" fillId="2" borderId="2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178" fontId="10" fillId="2" borderId="7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178" fontId="10" fillId="3" borderId="4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76" fontId="19" fillId="0" borderId="0" xfId="3" applyNumberFormat="1" applyFont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78" fontId="11" fillId="2" borderId="2" xfId="0" applyNumberFormat="1" applyFont="1" applyFill="1" applyBorder="1" applyAlignment="1">
      <alignment horizontal="center" vertical="center"/>
    </xf>
    <xf numFmtId="178" fontId="11" fillId="2" borderId="9" xfId="0" applyNumberFormat="1" applyFont="1" applyFill="1" applyBorder="1" applyAlignment="1">
      <alignment horizontal="center" vertical="center"/>
    </xf>
    <xf numFmtId="178" fontId="11" fillId="2" borderId="7" xfId="0" applyNumberFormat="1" applyFont="1" applyFill="1" applyBorder="1" applyAlignment="1">
      <alignment horizontal="center" vertical="center"/>
    </xf>
    <xf numFmtId="178" fontId="11" fillId="2" borderId="10" xfId="0" applyNumberFormat="1" applyFont="1" applyFill="1" applyBorder="1" applyAlignment="1">
      <alignment horizontal="center" vertical="center"/>
    </xf>
    <xf numFmtId="178" fontId="1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/>
    <xf numFmtId="0" fontId="1" fillId="0" borderId="2" xfId="0" applyFont="1" applyBorder="1" applyAlignment="1">
      <alignment horizontal="center" vertical="center"/>
    </xf>
    <xf numFmtId="14" fontId="1" fillId="0" borderId="9" xfId="0" applyNumberFormat="1" applyFont="1" applyBorder="1"/>
    <xf numFmtId="0" fontId="1" fillId="0" borderId="9" xfId="0" applyFont="1" applyBorder="1"/>
    <xf numFmtId="0" fontId="1" fillId="0" borderId="7" xfId="0" applyFont="1" applyBorder="1" applyAlignment="1">
      <alignment horizontal="center" vertical="center"/>
    </xf>
    <xf numFmtId="0" fontId="1" fillId="0" borderId="10" xfId="0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/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77" fontId="13" fillId="0" borderId="4" xfId="0" applyNumberFormat="1" applyFont="1" applyBorder="1" applyAlignment="1">
      <alignment horizontal="center" vertical="center"/>
    </xf>
    <xf numFmtId="9" fontId="12" fillId="0" borderId="4" xfId="3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9" fontId="12" fillId="0" borderId="2" xfId="3" applyNumberFormat="1" applyFont="1" applyBorder="1" applyAlignment="1">
      <alignment horizontal="center" vertical="center"/>
    </xf>
    <xf numFmtId="9" fontId="12" fillId="0" borderId="7" xfId="3" applyNumberFormat="1" applyFont="1" applyBorder="1" applyAlignment="1">
      <alignment horizontal="center" vertical="center"/>
    </xf>
    <xf numFmtId="9" fontId="12" fillId="0" borderId="4" xfId="3" applyNumberFormat="1" applyFont="1" applyFill="1" applyBorder="1" applyAlignment="1" applyProtection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8" xfId="0" applyNumberFormat="1" applyFont="1" applyBorder="1"/>
    <xf numFmtId="0" fontId="1" fillId="0" borderId="8" xfId="0" applyFont="1" applyBorder="1"/>
    <xf numFmtId="0" fontId="1" fillId="0" borderId="4" xfId="0" applyFont="1" applyBorder="1"/>
    <xf numFmtId="0" fontId="1" fillId="0" borderId="2" xfId="0" applyFont="1" applyBorder="1"/>
    <xf numFmtId="14" fontId="10" fillId="3" borderId="4" xfId="0" applyNumberFormat="1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178" fontId="1" fillId="0" borderId="0" xfId="0" applyNumberFormat="1" applyFont="1" applyAlignment="1">
      <alignment horizontal="center" vertical="center"/>
    </xf>
    <xf numFmtId="178" fontId="11" fillId="3" borderId="8" xfId="0" applyNumberFormat="1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0" xfId="0" applyNumberFormat="1" applyFont="1"/>
    <xf numFmtId="0" fontId="1" fillId="0" borderId="10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9" fontId="12" fillId="0" borderId="4" xfId="3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178" fontId="10" fillId="2" borderId="12" xfId="0" applyNumberFormat="1" applyFont="1" applyFill="1" applyBorder="1" applyAlignment="1">
      <alignment horizontal="center" vertical="center"/>
    </xf>
    <xf numFmtId="178" fontId="11" fillId="2" borderId="19" xfId="0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0" xfId="49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4">
    <dxf>
      <font>
        <color theme="1" tint="0.349986266670736"/>
      </font>
    </dxf>
    <dxf>
      <font>
        <color rgb="FFFDB22B"/>
      </font>
    </dxf>
    <dxf>
      <font>
        <color rgb="FF4B9E6E"/>
      </font>
      <fill>
        <patternFill patternType="none"/>
      </fill>
    </dxf>
    <dxf>
      <fill>
        <patternFill patternType="solid">
          <fgColor rgb="FFDFEEEA"/>
          <bgColor theme="8" tint="0.799981688894314"/>
        </patternFill>
      </fill>
    </dxf>
  </dxfs>
  <tableStyles count="0" defaultTableStyle="TableStyleMedium2" defaultPivotStyle="PivotStyleLight16"/>
  <colors>
    <mruColors>
      <color rgb="00F2F2F2"/>
      <color rgb="00B9DDEB"/>
      <color rgb="0075AAD1"/>
      <color rgb="00588BAF"/>
      <color rgb="004B9E6E"/>
      <color rgb="0092DFCB"/>
      <color rgb="00BBEBDE"/>
      <color rgb="00FDC256"/>
      <color rgb="00E6E6E6"/>
      <color rgb="00EEEE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4BC9A8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甘特图样式1!$D$3:$D$5</c:f>
              <c:strCache>
                <c:ptCount val="3"/>
                <c:pt idx="0">
                  <c:v>未开始</c:v>
                </c:pt>
                <c:pt idx="1">
                  <c:v>进行中</c:v>
                </c:pt>
                <c:pt idx="2">
                  <c:v>已完成</c:v>
                </c:pt>
              </c:strCache>
            </c:strRef>
          </c:cat>
          <c:val>
            <c:numRef>
              <c:f>甘特图样式1!$E$3:$E$5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5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db3be27-009c-4af9-816b-9e9c242ce67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75AAD1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甘特图样式1!$S$4:$S$5</c:f>
              <c:strCache>
                <c:ptCount val="2"/>
                <c:pt idx="0">
                  <c:v>未逾期</c:v>
                </c:pt>
                <c:pt idx="1">
                  <c:v>已逾期</c:v>
                </c:pt>
              </c:strCache>
            </c:strRef>
          </c:cat>
          <c:val>
            <c:numRef>
              <c:f>甘特图样式1!$T$4:$T$5</c:f>
              <c:numCache>
                <c:formatCode>General</c:formatCode>
                <c:ptCount val="2"/>
                <c:pt idx="0">
                  <c:v>13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7144bf3-3ff7-41e7-87ad-7b681f89e9a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4BC9A8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甘特图样式2!$D$3:$D$5</c:f>
              <c:strCache>
                <c:ptCount val="3"/>
                <c:pt idx="0">
                  <c:v>未开始</c:v>
                </c:pt>
                <c:pt idx="1">
                  <c:v>进行中</c:v>
                </c:pt>
                <c:pt idx="2">
                  <c:v>已完成</c:v>
                </c:pt>
              </c:strCache>
            </c:strRef>
          </c:cat>
          <c:val>
            <c:numRef>
              <c:f>甘特图样式2!$E$3:$E$5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5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f54033-c35c-4934-b59c-1bfd693c004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</c:spPr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rgbClr val="75AAD1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甘特图样式2!$S$4:$S$5</c:f>
              <c:strCache>
                <c:ptCount val="2"/>
                <c:pt idx="0">
                  <c:v>未逾期</c:v>
                </c:pt>
                <c:pt idx="1">
                  <c:v>已逾期</c:v>
                </c:pt>
              </c:strCache>
            </c:strRef>
          </c:cat>
          <c:val>
            <c:numRef>
              <c:f>甘特图样式2!$T$4:$T$5</c:f>
              <c:numCache>
                <c:formatCode>General</c:formatCode>
                <c:ptCount val="2"/>
                <c:pt idx="0">
                  <c:v>13</c:v>
                </c:pt>
                <c:pt idx="1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28cf6f5-8861-45f2-bb2e-40447454feb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4BC9A8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甘特图样式3!$D$3:$D$5</c:f>
              <c:strCache>
                <c:ptCount val="3"/>
                <c:pt idx="0">
                  <c:v>未开始</c:v>
                </c:pt>
                <c:pt idx="1">
                  <c:v>进行中</c:v>
                </c:pt>
                <c:pt idx="2">
                  <c:v>已完成</c:v>
                </c:pt>
              </c:strCache>
            </c:strRef>
          </c:cat>
          <c:val>
            <c:numRef>
              <c:f>甘特图样式3!$E$3:$E$5</c:f>
              <c:numCache>
                <c:formatCode>General</c:formatCode>
                <c:ptCount val="3"/>
                <c:pt idx="0">
                  <c:v>1</c:v>
                </c:pt>
                <c:pt idx="1">
                  <c:v>6</c:v>
                </c:pt>
                <c:pt idx="2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5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fa0c5f8-98d3-49ce-9602-d67ddad5cd2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</c:spPr>
          <c:explosion val="0"/>
          <c:dLbls>
            <c:delete val="1"/>
          </c:dLbls>
          <c:cat>
            <c:numRef>
              <c:f>甘特图样式3!$S$4:$S$5</c:f>
              <c:numCache>
                <c:ptCount val="0"/>
              </c:numCache>
            </c:numRef>
          </c:cat>
          <c:val>
            <c:numRef>
              <c:f>甘特图样式3!$T$4:$T$5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6fad853-b44e-4866-b5ef-bd28a77066a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>
                  <a:lumMod val="85000"/>
                </a:schemeClr>
              </a:solidFill>
              <a:ln w="19050">
                <a:noFill/>
              </a:ln>
              <a:effectLst/>
            </c:spPr>
          </c:dPt>
          <c:dPt>
            <c:idx val="2"/>
            <c:bubble3D val="0"/>
            <c:spPr>
              <a:solidFill>
                <a:srgbClr val="4BC9A8"/>
              </a:solidFill>
              <a:ln w="19050">
                <a:noFill/>
              </a:ln>
              <a:effectLst/>
            </c:spPr>
          </c:dPt>
          <c:dLbls>
            <c:delete val="1"/>
          </c:dLbls>
          <c:cat>
            <c:strRef>
              <c:f>甘特图样式4!$D$3:$D$5</c:f>
              <c:strCache>
                <c:ptCount val="3"/>
                <c:pt idx="0">
                  <c:v>未开始</c:v>
                </c:pt>
                <c:pt idx="1">
                  <c:v>进行中</c:v>
                </c:pt>
                <c:pt idx="2">
                  <c:v>已完成</c:v>
                </c:pt>
              </c:strCache>
            </c:strRef>
          </c:cat>
          <c:val>
            <c:numRef>
              <c:f>甘特图样式4!$E$3:$E$5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5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b591ea-2d38-4d2d-ba51-1617b4d4851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bg1">
                <a:lumMod val="85000"/>
              </a:schemeClr>
            </a:solidFill>
            <a:ln w="19050">
              <a:noFill/>
            </a:ln>
          </c:spPr>
          <c:explosion val="0"/>
          <c:dLbls>
            <c:delete val="1"/>
          </c:dLbls>
          <c:cat>
            <c:numRef>
              <c:f>甘特图样式4!$S$4:$S$5</c:f>
              <c:numCache>
                <c:ptCount val="0"/>
              </c:numCache>
            </c:numRef>
          </c:cat>
          <c:val>
            <c:numRef>
              <c:f>甘特图样式4!$T$4:$T$5</c:f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afde957-d0e2-4b0c-b713-e4c15228aafe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266700</xdr:colOff>
      <xdr:row>1</xdr:row>
      <xdr:rowOff>7620</xdr:rowOff>
    </xdr:from>
    <xdr:ext cx="6544740" cy="736000"/>
    <xdr:sp>
      <xdr:nvSpPr>
        <xdr:cNvPr id="2" name="文本框 1"/>
        <xdr:cNvSpPr txBox="1"/>
      </xdr:nvSpPr>
      <xdr:spPr>
        <a:xfrm>
          <a:off x="4328160" y="185420"/>
          <a:ext cx="6544310" cy="7359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CN" altLang="en-US" sz="3800" b="1">
              <a:solidFill>
                <a:srgbClr val="588BAF"/>
              </a:solidFill>
              <a:latin typeface="宋体" panose="02010600030101010101" pitchFamily="7" charset="-122"/>
              <a:ea typeface="宋体" panose="02010600030101010101" pitchFamily="7" charset="-122"/>
            </a:rPr>
            <a:t>项目甘特图使用指南（必看）</a:t>
          </a:r>
          <a:endParaRPr lang="zh-CN" altLang="en-US" sz="3800" b="1">
            <a:solidFill>
              <a:srgbClr val="588BAF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</xdr:col>
      <xdr:colOff>114300</xdr:colOff>
      <xdr:row>5</xdr:row>
      <xdr:rowOff>53340</xdr:rowOff>
    </xdr:from>
    <xdr:ext cx="9403080" cy="729011"/>
    <xdr:sp>
      <xdr:nvSpPr>
        <xdr:cNvPr id="3" name="文本框 2"/>
        <xdr:cNvSpPr txBox="1"/>
      </xdr:nvSpPr>
      <xdr:spPr>
        <a:xfrm>
          <a:off x="791210" y="942340"/>
          <a:ext cx="9403080" cy="728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zh-CN" altLang="en-US" sz="16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甘特图介绍：</a:t>
          </a:r>
          <a:endParaRPr lang="zh-CN" altLang="en-US" sz="1600" b="1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有</a:t>
          </a:r>
          <a:r>
            <a:rPr lang="en-US" altLang="zh-CN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4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种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表格样式，仅在呈现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细节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方面有点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不同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，但每种表格样式的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使用方法基本是一样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的，可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任选一种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使用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>
    <xdr:from>
      <xdr:col>0</xdr:col>
      <xdr:colOff>358140</xdr:colOff>
      <xdr:row>5</xdr:row>
      <xdr:rowOff>137160</xdr:rowOff>
    </xdr:from>
    <xdr:to>
      <xdr:col>1</xdr:col>
      <xdr:colOff>44440</xdr:colOff>
      <xdr:row>7</xdr:row>
      <xdr:rowOff>89298</xdr:rowOff>
    </xdr:to>
    <xdr:sp>
      <xdr:nvSpPr>
        <xdr:cNvPr id="4" name="椭圆 3"/>
        <xdr:cNvSpPr/>
      </xdr:nvSpPr>
      <xdr:spPr>
        <a:xfrm>
          <a:off x="358140" y="1026160"/>
          <a:ext cx="362585" cy="307340"/>
        </a:xfrm>
        <a:prstGeom prst="ellipse">
          <a:avLst/>
        </a:prstGeom>
        <a:solidFill>
          <a:srgbClr val="75AAD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>
              <a:latin typeface="思源黑体 Heavy" panose="020B0A00000000000000" pitchFamily="34" charset="-122"/>
              <a:ea typeface="思源黑体 Heavy" panose="020B0A00000000000000" pitchFamily="34" charset="-122"/>
            </a:rPr>
            <a:t>1</a:t>
          </a:r>
          <a:endParaRPr lang="zh-CN" altLang="en-US" sz="1200">
            <a:latin typeface="思源黑体 Heavy" panose="020B0A00000000000000" pitchFamily="34" charset="-122"/>
            <a:ea typeface="思源黑体 Heavy" panose="020B0A00000000000000" pitchFamily="34" charset="-122"/>
          </a:endParaRPr>
        </a:p>
      </xdr:txBody>
    </xdr:sp>
    <xdr:clientData/>
  </xdr:twoCellAnchor>
  <xdr:twoCellAnchor editAs="oneCell">
    <xdr:from>
      <xdr:col>1</xdr:col>
      <xdr:colOff>152400</xdr:colOff>
      <xdr:row>9</xdr:row>
      <xdr:rowOff>167640</xdr:rowOff>
    </xdr:from>
    <xdr:to>
      <xdr:col>8</xdr:col>
      <xdr:colOff>475676</xdr:colOff>
      <xdr:row>11</xdr:row>
      <xdr:rowOff>121882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9310" y="1767840"/>
          <a:ext cx="5061585" cy="309245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12</xdr:row>
      <xdr:rowOff>22860</xdr:rowOff>
    </xdr:from>
    <xdr:ext cx="6263640" cy="1034968"/>
    <xdr:sp>
      <xdr:nvSpPr>
        <xdr:cNvPr id="6" name="文本框 5"/>
        <xdr:cNvSpPr txBox="1"/>
      </xdr:nvSpPr>
      <xdr:spPr>
        <a:xfrm>
          <a:off x="753110" y="2156460"/>
          <a:ext cx="6263640" cy="10344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zh-CN" altLang="en-US" sz="16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使用方法</a:t>
          </a:r>
          <a:endParaRPr lang="zh-CN" altLang="en-US" sz="1600" b="1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1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、填写年份、月份、今天，年份、月份必须填写数字，今天填写日期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如果想要自动更新今天的日期，输入公式：</a:t>
          </a: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=TODAY()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>
    <xdr:from>
      <xdr:col>0</xdr:col>
      <xdr:colOff>365760</xdr:colOff>
      <xdr:row>12</xdr:row>
      <xdr:rowOff>99060</xdr:rowOff>
    </xdr:from>
    <xdr:to>
      <xdr:col>1</xdr:col>
      <xdr:colOff>52060</xdr:colOff>
      <xdr:row>14</xdr:row>
      <xdr:rowOff>51198</xdr:rowOff>
    </xdr:to>
    <xdr:sp>
      <xdr:nvSpPr>
        <xdr:cNvPr id="7" name="椭圆 6"/>
        <xdr:cNvSpPr/>
      </xdr:nvSpPr>
      <xdr:spPr>
        <a:xfrm>
          <a:off x="365760" y="2232660"/>
          <a:ext cx="362585" cy="307340"/>
        </a:xfrm>
        <a:prstGeom prst="ellipse">
          <a:avLst/>
        </a:prstGeom>
        <a:solidFill>
          <a:srgbClr val="75AAD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200">
              <a:latin typeface="思源黑体 Heavy" panose="020B0A00000000000000" pitchFamily="34" charset="-122"/>
              <a:ea typeface="思源黑体 Heavy" panose="020B0A00000000000000" pitchFamily="34" charset="-122"/>
            </a:rPr>
            <a:t>2</a:t>
          </a:r>
          <a:endParaRPr lang="zh-CN" altLang="en-US" sz="1200">
            <a:latin typeface="思源黑体 Heavy" panose="020B0A00000000000000" pitchFamily="34" charset="-122"/>
            <a:ea typeface="思源黑体 Heavy" panose="020B0A00000000000000" pitchFamily="34" charset="-122"/>
          </a:endParaRPr>
        </a:p>
      </xdr:txBody>
    </xdr:sp>
    <xdr:clientData/>
  </xdr:twoCellAnchor>
  <xdr:twoCellAnchor editAs="oneCell">
    <xdr:from>
      <xdr:col>1</xdr:col>
      <xdr:colOff>373380</xdr:colOff>
      <xdr:row>18</xdr:row>
      <xdr:rowOff>54864</xdr:rowOff>
    </xdr:from>
    <xdr:to>
      <xdr:col>12</xdr:col>
      <xdr:colOff>192917</xdr:colOff>
      <xdr:row>25</xdr:row>
      <xdr:rowOff>133071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50290" y="3255010"/>
          <a:ext cx="7265035" cy="132270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30</xdr:row>
      <xdr:rowOff>100045</xdr:rowOff>
    </xdr:from>
    <xdr:to>
      <xdr:col>11</xdr:col>
      <xdr:colOff>187434</xdr:colOff>
      <xdr:row>44</xdr:row>
      <xdr:rowOff>152669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57910" y="5433695"/>
          <a:ext cx="6575425" cy="2541905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26</xdr:row>
      <xdr:rowOff>99060</xdr:rowOff>
    </xdr:from>
    <xdr:ext cx="12001500" cy="685666"/>
    <xdr:sp>
      <xdr:nvSpPr>
        <xdr:cNvPr id="10" name="文本框 9"/>
        <xdr:cNvSpPr txBox="1"/>
      </xdr:nvSpPr>
      <xdr:spPr>
        <a:xfrm>
          <a:off x="753110" y="4721860"/>
          <a:ext cx="12001500" cy="685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2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、填入项目名称、任务、开始日期、结束日期、完成进度、当前状态（下拉菜单勾选）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①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天数是自动计算的；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②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是否完成根据当前状态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"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已完成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"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来自动判断；③超期自动红灯显示（超期：今天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&gt;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结束日期，当前状态是未开始或进行中）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0</xdr:col>
      <xdr:colOff>563880</xdr:colOff>
      <xdr:row>44</xdr:row>
      <xdr:rowOff>152400</xdr:rowOff>
    </xdr:from>
    <xdr:ext cx="12001500" cy="685666"/>
    <xdr:sp>
      <xdr:nvSpPr>
        <xdr:cNvPr id="11" name="文本框 10"/>
        <xdr:cNvSpPr txBox="1"/>
      </xdr:nvSpPr>
      <xdr:spPr>
        <a:xfrm>
          <a:off x="563880" y="7975600"/>
          <a:ext cx="12001500" cy="6851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3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、新增任务的方法</a:t>
          </a: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: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①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取消合并序号、项目名称；②新增行；③合并序号、项目</a:t>
          </a:r>
          <a:endParaRPr lang="en-US" altLang="zh-CN" sz="1400" b="1">
            <a:solidFill>
              <a:schemeClr val="tx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   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新增项目的方法：从中间插入整行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/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多行，可以保留公式自动计算的功能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1</xdr:col>
      <xdr:colOff>236220</xdr:colOff>
      <xdr:row>48</xdr:row>
      <xdr:rowOff>146352</xdr:rowOff>
    </xdr:from>
    <xdr:to>
      <xdr:col>14</xdr:col>
      <xdr:colOff>383627</xdr:colOff>
      <xdr:row>62</xdr:row>
      <xdr:rowOff>39661</xdr:rowOff>
    </xdr:to>
    <xdr:pic>
      <xdr:nvPicPr>
        <xdr:cNvPr id="12" name="图片 1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3130" y="8680450"/>
          <a:ext cx="8947150" cy="2382520"/>
        </a:xfrm>
        <a:prstGeom prst="rect">
          <a:avLst/>
        </a:prstGeom>
      </xdr:spPr>
    </xdr:pic>
    <xdr:clientData/>
  </xdr:twoCellAnchor>
  <xdr:oneCellAnchor>
    <xdr:from>
      <xdr:col>0</xdr:col>
      <xdr:colOff>579120</xdr:colOff>
      <xdr:row>63</xdr:row>
      <xdr:rowOff>15240</xdr:rowOff>
    </xdr:from>
    <xdr:ext cx="12405360" cy="1327754"/>
    <xdr:sp>
      <xdr:nvSpPr>
        <xdr:cNvPr id="13" name="文本框 12"/>
        <xdr:cNvSpPr txBox="1"/>
      </xdr:nvSpPr>
      <xdr:spPr>
        <a:xfrm>
          <a:off x="579120" y="11216640"/>
          <a:ext cx="12405360" cy="13271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4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、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增加甘特图月份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的方法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①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复制整月日期</a:t>
          </a: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+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甘特图粘贴到后面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②改粘贴后第一个日期为当月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号（例如：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2024/10/1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），就可以增加一个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2024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年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10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月，类似这样往后面增加月份</a:t>
          </a:r>
          <a:endParaRPr lang="en-US" altLang="zh-CN" sz="1400" b="1">
            <a:solidFill>
              <a:schemeClr val="tx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③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调整新增甘特的列宽：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3.22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；上面的月份删掉公式，改为文字：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10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月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oneCellAnchor>
    <xdr:from>
      <xdr:col>12</xdr:col>
      <xdr:colOff>198120</xdr:colOff>
      <xdr:row>32</xdr:row>
      <xdr:rowOff>144780</xdr:rowOff>
    </xdr:from>
    <xdr:ext cx="4442460" cy="377170"/>
    <xdr:sp>
      <xdr:nvSpPr>
        <xdr:cNvPr id="14" name="文本框 13"/>
        <xdr:cNvSpPr txBox="1"/>
      </xdr:nvSpPr>
      <xdr:spPr>
        <a:xfrm>
          <a:off x="8321040" y="5834380"/>
          <a:ext cx="4442460" cy="3765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完成进度没有设公式，需要手动填写百分比数字！！！</a:t>
          </a:r>
          <a:endParaRPr lang="en-US" altLang="zh-CN" sz="1400" b="1">
            <a:solidFill>
              <a:srgbClr val="FF0000"/>
            </a:solidFill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oneCellAnchor>
  <xdr:twoCellAnchor editAs="oneCell">
    <xdr:from>
      <xdr:col>1</xdr:col>
      <xdr:colOff>341619</xdr:colOff>
      <xdr:row>71</xdr:row>
      <xdr:rowOff>7620</xdr:rowOff>
    </xdr:from>
    <xdr:to>
      <xdr:col>9</xdr:col>
      <xdr:colOff>570119</xdr:colOff>
      <xdr:row>88</xdr:row>
      <xdr:rowOff>170600</xdr:rowOff>
    </xdr:to>
    <xdr:pic>
      <xdr:nvPicPr>
        <xdr:cNvPr id="15" name="图片 14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017905" y="12631420"/>
          <a:ext cx="5643880" cy="3185160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13</xdr:col>
      <xdr:colOff>204758</xdr:colOff>
      <xdr:row>72</xdr:row>
      <xdr:rowOff>83819</xdr:rowOff>
    </xdr:from>
    <xdr:to>
      <xdr:col>21</xdr:col>
      <xdr:colOff>320481</xdr:colOff>
      <xdr:row>88</xdr:row>
      <xdr:rowOff>119182</xdr:rowOff>
    </xdr:to>
    <xdr:pic>
      <xdr:nvPicPr>
        <xdr:cNvPr id="16" name="图片 1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004300" y="12884785"/>
          <a:ext cx="5530850" cy="2880360"/>
        </a:xfrm>
        <a:prstGeom prst="rect">
          <a:avLst/>
        </a:prstGeom>
      </xdr:spPr>
    </xdr:pic>
    <xdr:clientData/>
  </xdr:twoCellAnchor>
  <xdr:twoCellAnchor editAs="oneCell">
    <xdr:from>
      <xdr:col>11</xdr:col>
      <xdr:colOff>371974</xdr:colOff>
      <xdr:row>92</xdr:row>
      <xdr:rowOff>160020</xdr:rowOff>
    </xdr:from>
    <xdr:to>
      <xdr:col>22</xdr:col>
      <xdr:colOff>581664</xdr:colOff>
      <xdr:row>108</xdr:row>
      <xdr:rowOff>164844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817485" y="16517620"/>
          <a:ext cx="7656195" cy="284924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93</xdr:row>
      <xdr:rowOff>99060</xdr:rowOff>
    </xdr:from>
    <xdr:to>
      <xdr:col>10</xdr:col>
      <xdr:colOff>222330</xdr:colOff>
      <xdr:row>107</xdr:row>
      <xdr:rowOff>86747</xdr:rowOff>
    </xdr:to>
    <xdr:pic>
      <xdr:nvPicPr>
        <xdr:cNvPr id="18" name="图片 1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4800" y="16634460"/>
          <a:ext cx="6686550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372961</xdr:colOff>
      <xdr:row>112</xdr:row>
      <xdr:rowOff>60960</xdr:rowOff>
    </xdr:from>
    <xdr:to>
      <xdr:col>6</xdr:col>
      <xdr:colOff>258075</xdr:colOff>
      <xdr:row>128</xdr:row>
      <xdr:rowOff>157292</xdr:rowOff>
    </xdr:to>
    <xdr:pic>
      <xdr:nvPicPr>
        <xdr:cNvPr id="19" name="图片 1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72745" y="19974560"/>
          <a:ext cx="3946525" cy="2940685"/>
        </a:xfrm>
        <a:prstGeom prst="rect">
          <a:avLst/>
        </a:prstGeom>
      </xdr:spPr>
    </xdr:pic>
    <xdr:clientData/>
  </xdr:twoCellAnchor>
  <xdr:twoCellAnchor>
    <xdr:from>
      <xdr:col>10</xdr:col>
      <xdr:colOff>426720</xdr:colOff>
      <xdr:row>81</xdr:row>
      <xdr:rowOff>121920</xdr:rowOff>
    </xdr:from>
    <xdr:to>
      <xdr:col>12</xdr:col>
      <xdr:colOff>342900</xdr:colOff>
      <xdr:row>81</xdr:row>
      <xdr:rowOff>121920</xdr:rowOff>
    </xdr:to>
    <xdr:cxnSp>
      <xdr:nvCxnSpPr>
        <xdr:cNvPr id="20" name="直接箭头连接符 19"/>
        <xdr:cNvCxnSpPr/>
      </xdr:nvCxnSpPr>
      <xdr:spPr>
        <a:xfrm>
          <a:off x="7195820" y="14523720"/>
          <a:ext cx="1270000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140970</xdr:colOff>
      <xdr:row>89</xdr:row>
      <xdr:rowOff>22860</xdr:rowOff>
    </xdr:from>
    <xdr:to>
      <xdr:col>18</xdr:col>
      <xdr:colOff>140970</xdr:colOff>
      <xdr:row>92</xdr:row>
      <xdr:rowOff>80010</xdr:rowOff>
    </xdr:to>
    <xdr:cxnSp>
      <xdr:nvCxnSpPr>
        <xdr:cNvPr id="21" name="直接箭头连接符 20"/>
        <xdr:cNvCxnSpPr/>
      </xdr:nvCxnSpPr>
      <xdr:spPr>
        <a:xfrm>
          <a:off x="12325350" y="15847060"/>
          <a:ext cx="0" cy="59055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306705</xdr:colOff>
      <xdr:row>101</xdr:row>
      <xdr:rowOff>78105</xdr:rowOff>
    </xdr:from>
    <xdr:to>
      <xdr:col>11</xdr:col>
      <xdr:colOff>280035</xdr:colOff>
      <xdr:row>101</xdr:row>
      <xdr:rowOff>78105</xdr:rowOff>
    </xdr:to>
    <xdr:cxnSp>
      <xdr:nvCxnSpPr>
        <xdr:cNvPr id="22" name="直接箭头连接符 21"/>
        <xdr:cNvCxnSpPr/>
      </xdr:nvCxnSpPr>
      <xdr:spPr>
        <a:xfrm rot="5400000">
          <a:off x="7400290" y="17710785"/>
          <a:ext cx="635" cy="65024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361950</xdr:colOff>
      <xdr:row>108</xdr:row>
      <xdr:rowOff>60960</xdr:rowOff>
    </xdr:from>
    <xdr:to>
      <xdr:col>3</xdr:col>
      <xdr:colOff>361950</xdr:colOff>
      <xdr:row>111</xdr:row>
      <xdr:rowOff>118110</xdr:rowOff>
    </xdr:to>
    <xdr:cxnSp>
      <xdr:nvCxnSpPr>
        <xdr:cNvPr id="23" name="直接箭头连接符 22"/>
        <xdr:cNvCxnSpPr/>
      </xdr:nvCxnSpPr>
      <xdr:spPr>
        <a:xfrm>
          <a:off x="2392680" y="19263360"/>
          <a:ext cx="0" cy="59055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548640</xdr:colOff>
      <xdr:row>111</xdr:row>
      <xdr:rowOff>137841</xdr:rowOff>
    </xdr:from>
    <xdr:to>
      <xdr:col>22</xdr:col>
      <xdr:colOff>592122</xdr:colOff>
      <xdr:row>131</xdr:row>
      <xdr:rowOff>18167</xdr:rowOff>
    </xdr:to>
    <xdr:pic>
      <xdr:nvPicPr>
        <xdr:cNvPr id="24" name="图片 23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5963920" y="19873595"/>
          <a:ext cx="9519920" cy="3435985"/>
        </a:xfrm>
        <a:prstGeom prst="rect">
          <a:avLst/>
        </a:prstGeom>
      </xdr:spPr>
    </xdr:pic>
    <xdr:clientData/>
  </xdr:twoCellAnchor>
  <xdr:twoCellAnchor>
    <xdr:from>
      <xdr:col>7</xdr:col>
      <xdr:colOff>17145</xdr:colOff>
      <xdr:row>120</xdr:row>
      <xdr:rowOff>131445</xdr:rowOff>
    </xdr:from>
    <xdr:to>
      <xdr:col>8</xdr:col>
      <xdr:colOff>297180</xdr:colOff>
      <xdr:row>120</xdr:row>
      <xdr:rowOff>131445</xdr:rowOff>
    </xdr:to>
    <xdr:cxnSp>
      <xdr:nvCxnSpPr>
        <xdr:cNvPr id="25" name="直接箭头连接符 24"/>
        <xdr:cNvCxnSpPr/>
      </xdr:nvCxnSpPr>
      <xdr:spPr>
        <a:xfrm>
          <a:off x="4755515" y="21467445"/>
          <a:ext cx="956945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320040</xdr:colOff>
      <xdr:row>131</xdr:row>
      <xdr:rowOff>15240</xdr:rowOff>
    </xdr:from>
    <xdr:ext cx="12405360" cy="991622"/>
    <xdr:sp>
      <xdr:nvSpPr>
        <xdr:cNvPr id="26" name="文本框 25"/>
        <xdr:cNvSpPr txBox="1"/>
      </xdr:nvSpPr>
      <xdr:spPr>
        <a:xfrm>
          <a:off x="320040" y="23307040"/>
          <a:ext cx="12405360" cy="991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5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、</a:t>
          </a:r>
          <a:r>
            <a:rPr lang="zh-CN" altLang="en-US" sz="1400" b="1">
              <a:solidFill>
                <a:srgbClr val="FF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修改甘特图颜色</a:t>
          </a:r>
          <a:r>
            <a:rPr lang="zh-CN" altLang="en-US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的方法</a:t>
          </a:r>
          <a:endParaRPr lang="en-US" altLang="zh-CN" sz="1400" b="1">
            <a:solidFill>
              <a:schemeClr val="tx1"/>
            </a:solidFill>
            <a:latin typeface="宋体" panose="02010600030101010101" pitchFamily="7" charset="-122"/>
            <a:ea typeface="宋体" panose="02010600030101010101" pitchFamily="7" charset="-122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</a:t>
          </a:r>
          <a:r>
            <a:rPr lang="en-US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①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选中甘特图单元格</a:t>
          </a:r>
          <a:endParaRPr lang="en-US" altLang="zh-CN" sz="1400" b="1">
            <a:solidFill>
              <a:schemeClr val="tx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  <a:p>
          <a:pPr>
            <a:lnSpc>
              <a:spcPct val="130000"/>
            </a:lnSpc>
          </a:pPr>
          <a:r>
            <a:rPr lang="en-US" altLang="zh-CN" sz="1400" b="1">
              <a:solidFill>
                <a:schemeClr val="tx1"/>
              </a:solidFill>
              <a:latin typeface="宋体" panose="02010600030101010101" pitchFamily="7" charset="-122"/>
              <a:ea typeface="宋体" panose="02010600030101010101" pitchFamily="7" charset="-122"/>
            </a:rPr>
            <a:t>   </a:t>
          </a:r>
          <a:r>
            <a:rPr lang="zh-CN" altLang="zh-CN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②</a:t>
          </a:r>
          <a:r>
            <a:rPr lang="zh-CN" altLang="en-US" sz="1400" b="1">
              <a:solidFill>
                <a:schemeClr val="tx1"/>
              </a:solidFill>
              <a:effectLst/>
              <a:latin typeface="宋体" panose="02010600030101010101" pitchFamily="7" charset="-122"/>
              <a:ea typeface="宋体" panose="02010600030101010101" pitchFamily="7" charset="-122"/>
              <a:cs typeface="+mn-cs"/>
            </a:rPr>
            <a:t>开始，条件格式，管理规则，编辑规则，点击格式，填充，其他颜色，确定</a:t>
          </a:r>
          <a:endParaRPr lang="en-US" altLang="zh-CN" sz="1400" b="1">
            <a:solidFill>
              <a:schemeClr val="tx1"/>
            </a:solidFill>
            <a:effectLst/>
            <a:latin typeface="宋体" panose="02010600030101010101" pitchFamily="7" charset="-122"/>
            <a:ea typeface="宋体" panose="02010600030101010101" pitchFamily="7" charset="-122"/>
            <a:cs typeface="+mn-cs"/>
          </a:endParaRPr>
        </a:p>
      </xdr:txBody>
    </xdr:sp>
    <xdr:clientData/>
  </xdr:oneCellAnchor>
  <xdr:twoCellAnchor editAs="oneCell">
    <xdr:from>
      <xdr:col>0</xdr:col>
      <xdr:colOff>434340</xdr:colOff>
      <xdr:row>137</xdr:row>
      <xdr:rowOff>147049</xdr:rowOff>
    </xdr:from>
    <xdr:to>
      <xdr:col>12</xdr:col>
      <xdr:colOff>229463</xdr:colOff>
      <xdr:row>162</xdr:row>
      <xdr:rowOff>91441</xdr:rowOff>
    </xdr:to>
    <xdr:pic>
      <xdr:nvPicPr>
        <xdr:cNvPr id="27" name="图片 26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34340" y="24505285"/>
          <a:ext cx="7917815" cy="4389755"/>
        </a:xfrm>
        <a:prstGeom prst="rect">
          <a:avLst/>
        </a:prstGeom>
      </xdr:spPr>
    </xdr:pic>
    <xdr:clientData/>
  </xdr:twoCellAnchor>
  <xdr:twoCellAnchor editAs="oneCell">
    <xdr:from>
      <xdr:col>14</xdr:col>
      <xdr:colOff>10617</xdr:colOff>
      <xdr:row>142</xdr:row>
      <xdr:rowOff>144780</xdr:rowOff>
    </xdr:from>
    <xdr:to>
      <xdr:col>22</xdr:col>
      <xdr:colOff>490473</xdr:colOff>
      <xdr:row>156</xdr:row>
      <xdr:rowOff>112298</xdr:rowOff>
    </xdr:to>
    <xdr:pic>
      <xdr:nvPicPr>
        <xdr:cNvPr id="28" name="图片 2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486900" y="25392380"/>
          <a:ext cx="5895340" cy="2456180"/>
        </a:xfrm>
        <a:prstGeom prst="rect">
          <a:avLst/>
        </a:prstGeom>
      </xdr:spPr>
    </xdr:pic>
    <xdr:clientData/>
  </xdr:twoCellAnchor>
  <xdr:twoCellAnchor editAs="oneCell">
    <xdr:from>
      <xdr:col>15</xdr:col>
      <xdr:colOff>451191</xdr:colOff>
      <xdr:row>166</xdr:row>
      <xdr:rowOff>144780</xdr:rowOff>
    </xdr:from>
    <xdr:to>
      <xdr:col>21</xdr:col>
      <xdr:colOff>181530</xdr:colOff>
      <xdr:row>190</xdr:row>
      <xdr:rowOff>79355</xdr:rowOff>
    </xdr:to>
    <xdr:pic>
      <xdr:nvPicPr>
        <xdr:cNvPr id="29" name="图片 2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604500" y="29659580"/>
          <a:ext cx="3791585" cy="4201160"/>
        </a:xfrm>
        <a:prstGeom prst="rect">
          <a:avLst/>
        </a:prstGeom>
      </xdr:spPr>
    </xdr:pic>
    <xdr:clientData/>
  </xdr:twoCellAnchor>
  <xdr:twoCellAnchor editAs="oneCell">
    <xdr:from>
      <xdr:col>4</xdr:col>
      <xdr:colOff>419099</xdr:colOff>
      <xdr:row>165</xdr:row>
      <xdr:rowOff>19103</xdr:rowOff>
    </xdr:from>
    <xdr:to>
      <xdr:col>11</xdr:col>
      <xdr:colOff>494082</xdr:colOff>
      <xdr:row>190</xdr:row>
      <xdr:rowOff>63829</xdr:rowOff>
    </xdr:to>
    <xdr:pic>
      <xdr:nvPicPr>
        <xdr:cNvPr id="30" name="图片 2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126105" y="29356050"/>
          <a:ext cx="4813935" cy="4489450"/>
        </a:xfrm>
        <a:prstGeom prst="rect">
          <a:avLst/>
        </a:prstGeom>
      </xdr:spPr>
    </xdr:pic>
    <xdr:clientData/>
  </xdr:twoCellAnchor>
  <xdr:twoCellAnchor>
    <xdr:from>
      <xdr:col>12</xdr:col>
      <xdr:colOff>472440</xdr:colOff>
      <xdr:row>147</xdr:row>
      <xdr:rowOff>114300</xdr:rowOff>
    </xdr:from>
    <xdr:to>
      <xdr:col>13</xdr:col>
      <xdr:colOff>525780</xdr:colOff>
      <xdr:row>147</xdr:row>
      <xdr:rowOff>114300</xdr:rowOff>
    </xdr:to>
    <xdr:cxnSp>
      <xdr:nvCxnSpPr>
        <xdr:cNvPr id="31" name="直接箭头连接符 30"/>
        <xdr:cNvCxnSpPr/>
      </xdr:nvCxnSpPr>
      <xdr:spPr>
        <a:xfrm>
          <a:off x="8595360" y="26250900"/>
          <a:ext cx="730250" cy="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461010</xdr:colOff>
      <xdr:row>157</xdr:row>
      <xdr:rowOff>125730</xdr:rowOff>
    </xdr:from>
    <xdr:to>
      <xdr:col>18</xdr:col>
      <xdr:colOff>461010</xdr:colOff>
      <xdr:row>165</xdr:row>
      <xdr:rowOff>83820</xdr:rowOff>
    </xdr:to>
    <xdr:cxnSp>
      <xdr:nvCxnSpPr>
        <xdr:cNvPr id="32" name="直接箭头连接符 31"/>
        <xdr:cNvCxnSpPr/>
      </xdr:nvCxnSpPr>
      <xdr:spPr>
        <a:xfrm>
          <a:off x="12645390" y="28040330"/>
          <a:ext cx="0" cy="138049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459105</xdr:colOff>
      <xdr:row>177</xdr:row>
      <xdr:rowOff>89535</xdr:rowOff>
    </xdr:from>
    <xdr:to>
      <xdr:col>14</xdr:col>
      <xdr:colOff>600075</xdr:colOff>
      <xdr:row>177</xdr:row>
      <xdr:rowOff>89535</xdr:rowOff>
    </xdr:to>
    <xdr:cxnSp>
      <xdr:nvCxnSpPr>
        <xdr:cNvPr id="33" name="直接箭头连接符 32"/>
        <xdr:cNvCxnSpPr/>
      </xdr:nvCxnSpPr>
      <xdr:spPr>
        <a:xfrm rot="5400000">
          <a:off x="9328785" y="30812740"/>
          <a:ext cx="635" cy="1494790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533400</xdr:colOff>
      <xdr:row>144</xdr:row>
      <xdr:rowOff>167640</xdr:rowOff>
    </xdr:from>
    <xdr:to>
      <xdr:col>13</xdr:col>
      <xdr:colOff>335280</xdr:colOff>
      <xdr:row>146</xdr:row>
      <xdr:rowOff>121920</xdr:rowOff>
    </xdr:to>
    <xdr:sp>
      <xdr:nvSpPr>
        <xdr:cNvPr id="34" name="文本框 33"/>
        <xdr:cNvSpPr txBox="1"/>
      </xdr:nvSpPr>
      <xdr:spPr>
        <a:xfrm>
          <a:off x="8656320" y="25770840"/>
          <a:ext cx="47879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①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17</xdr:col>
      <xdr:colOff>563880</xdr:colOff>
      <xdr:row>160</xdr:row>
      <xdr:rowOff>68580</xdr:rowOff>
    </xdr:from>
    <xdr:to>
      <xdr:col>18</xdr:col>
      <xdr:colOff>365760</xdr:colOff>
      <xdr:row>162</xdr:row>
      <xdr:rowOff>22860</xdr:rowOff>
    </xdr:to>
    <xdr:sp>
      <xdr:nvSpPr>
        <xdr:cNvPr id="35" name="文本框 34"/>
        <xdr:cNvSpPr txBox="1"/>
      </xdr:nvSpPr>
      <xdr:spPr>
        <a:xfrm>
          <a:off x="12071350" y="28516580"/>
          <a:ext cx="47879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②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13</xdr:col>
      <xdr:colOff>365760</xdr:colOff>
      <xdr:row>174</xdr:row>
      <xdr:rowOff>106680</xdr:rowOff>
    </xdr:from>
    <xdr:to>
      <xdr:col>14</xdr:col>
      <xdr:colOff>167640</xdr:colOff>
      <xdr:row>176</xdr:row>
      <xdr:rowOff>60960</xdr:rowOff>
    </xdr:to>
    <xdr:sp>
      <xdr:nvSpPr>
        <xdr:cNvPr id="36" name="文本框 35"/>
        <xdr:cNvSpPr txBox="1"/>
      </xdr:nvSpPr>
      <xdr:spPr>
        <a:xfrm>
          <a:off x="9165590" y="31043880"/>
          <a:ext cx="47879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③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11</xdr:col>
      <xdr:colOff>60960</xdr:colOff>
      <xdr:row>78</xdr:row>
      <xdr:rowOff>137160</xdr:rowOff>
    </xdr:from>
    <xdr:to>
      <xdr:col>11</xdr:col>
      <xdr:colOff>472440</xdr:colOff>
      <xdr:row>80</xdr:row>
      <xdr:rowOff>91440</xdr:rowOff>
    </xdr:to>
    <xdr:sp>
      <xdr:nvSpPr>
        <xdr:cNvPr id="37" name="文本框 36"/>
        <xdr:cNvSpPr txBox="1"/>
      </xdr:nvSpPr>
      <xdr:spPr>
        <a:xfrm>
          <a:off x="7506970" y="14005560"/>
          <a:ext cx="41148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①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18</xdr:col>
      <xdr:colOff>320040</xdr:colOff>
      <xdr:row>89</xdr:row>
      <xdr:rowOff>99060</xdr:rowOff>
    </xdr:from>
    <xdr:to>
      <xdr:col>19</xdr:col>
      <xdr:colOff>121920</xdr:colOff>
      <xdr:row>91</xdr:row>
      <xdr:rowOff>53340</xdr:rowOff>
    </xdr:to>
    <xdr:sp>
      <xdr:nvSpPr>
        <xdr:cNvPr id="38" name="文本框 37"/>
        <xdr:cNvSpPr txBox="1"/>
      </xdr:nvSpPr>
      <xdr:spPr>
        <a:xfrm>
          <a:off x="12504420" y="15923260"/>
          <a:ext cx="47879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②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10</xdr:col>
      <xdr:colOff>388620</xdr:colOff>
      <xdr:row>98</xdr:row>
      <xdr:rowOff>121920</xdr:rowOff>
    </xdr:from>
    <xdr:to>
      <xdr:col>11</xdr:col>
      <xdr:colOff>190500</xdr:colOff>
      <xdr:row>100</xdr:row>
      <xdr:rowOff>76200</xdr:rowOff>
    </xdr:to>
    <xdr:sp>
      <xdr:nvSpPr>
        <xdr:cNvPr id="39" name="文本框 38"/>
        <xdr:cNvSpPr txBox="1"/>
      </xdr:nvSpPr>
      <xdr:spPr>
        <a:xfrm>
          <a:off x="7157720" y="17546320"/>
          <a:ext cx="47879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③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2</xdr:col>
      <xdr:colOff>480060</xdr:colOff>
      <xdr:row>108</xdr:row>
      <xdr:rowOff>106680</xdr:rowOff>
    </xdr:from>
    <xdr:to>
      <xdr:col>3</xdr:col>
      <xdr:colOff>281940</xdr:colOff>
      <xdr:row>110</xdr:row>
      <xdr:rowOff>60960</xdr:rowOff>
    </xdr:to>
    <xdr:sp>
      <xdr:nvSpPr>
        <xdr:cNvPr id="40" name="文本框 39"/>
        <xdr:cNvSpPr txBox="1"/>
      </xdr:nvSpPr>
      <xdr:spPr>
        <a:xfrm>
          <a:off x="1833880" y="19309080"/>
          <a:ext cx="47879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④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  <xdr:twoCellAnchor>
    <xdr:from>
      <xdr:col>7</xdr:col>
      <xdr:colOff>182880</xdr:colOff>
      <xdr:row>117</xdr:row>
      <xdr:rowOff>160020</xdr:rowOff>
    </xdr:from>
    <xdr:to>
      <xdr:col>7</xdr:col>
      <xdr:colOff>594360</xdr:colOff>
      <xdr:row>119</xdr:row>
      <xdr:rowOff>114300</xdr:rowOff>
    </xdr:to>
    <xdr:sp>
      <xdr:nvSpPr>
        <xdr:cNvPr id="41" name="文本框 40"/>
        <xdr:cNvSpPr txBox="1"/>
      </xdr:nvSpPr>
      <xdr:spPr>
        <a:xfrm>
          <a:off x="4921250" y="20962620"/>
          <a:ext cx="411480" cy="3098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800" b="1">
              <a:latin typeface="宋体" panose="02010600030101010101" pitchFamily="7" charset="-122"/>
              <a:ea typeface="宋体" panose="02010600030101010101" pitchFamily="7" charset="-122"/>
            </a:rPr>
            <a:t>⑤</a:t>
          </a:r>
          <a:endParaRPr lang="zh-CN" altLang="en-US" sz="1800" b="1">
            <a:latin typeface="宋体" panose="02010600030101010101" pitchFamily="7" charset="-122"/>
            <a:ea typeface="宋体" panose="02010600030101010101" pitchFamily="7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481261</xdr:colOff>
      <xdr:row>1</xdr:row>
      <xdr:rowOff>210555</xdr:rowOff>
    </xdr:from>
    <xdr:to>
      <xdr:col>10</xdr:col>
      <xdr:colOff>170444</xdr:colOff>
      <xdr:row>6</xdr:row>
      <xdr:rowOff>148391</xdr:rowOff>
    </xdr:to>
    <xdr:graphicFrame>
      <xdr:nvGraphicFramePr>
        <xdr:cNvPr id="7" name="图表 6"/>
        <xdr:cNvGraphicFramePr/>
      </xdr:nvGraphicFramePr>
      <xdr:xfrm>
        <a:off x="7896860" y="492125"/>
        <a:ext cx="3067685" cy="1718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701845</xdr:colOff>
      <xdr:row>0</xdr:row>
      <xdr:rowOff>160420</xdr:rowOff>
    </xdr:from>
    <xdr:to>
      <xdr:col>9</xdr:col>
      <xdr:colOff>240631</xdr:colOff>
      <xdr:row>1</xdr:row>
      <xdr:rowOff>280736</xdr:rowOff>
    </xdr:to>
    <xdr:sp>
      <xdr:nvSpPr>
        <xdr:cNvPr id="8" name="文本框 7"/>
        <xdr:cNvSpPr txBox="1"/>
      </xdr:nvSpPr>
      <xdr:spPr>
        <a:xfrm>
          <a:off x="9015095" y="160020"/>
          <a:ext cx="1062355" cy="40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完成率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  <xdr:twoCellAnchor>
    <xdr:from>
      <xdr:col>9</xdr:col>
      <xdr:colOff>411079</xdr:colOff>
      <xdr:row>1</xdr:row>
      <xdr:rowOff>218575</xdr:rowOff>
    </xdr:from>
    <xdr:to>
      <xdr:col>18</xdr:col>
      <xdr:colOff>240632</xdr:colOff>
      <xdr:row>6</xdr:row>
      <xdr:rowOff>150395</xdr:rowOff>
    </xdr:to>
    <xdr:graphicFrame>
      <xdr:nvGraphicFramePr>
        <xdr:cNvPr id="9" name="图表 8"/>
        <xdr:cNvGraphicFramePr/>
      </xdr:nvGraphicFramePr>
      <xdr:xfrm>
        <a:off x="10248265" y="500380"/>
        <a:ext cx="3224530" cy="1712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52137</xdr:colOff>
      <xdr:row>0</xdr:row>
      <xdr:rowOff>172451</xdr:rowOff>
    </xdr:from>
    <xdr:to>
      <xdr:col>15</xdr:col>
      <xdr:colOff>100263</xdr:colOff>
      <xdr:row>1</xdr:row>
      <xdr:rowOff>350920</xdr:rowOff>
    </xdr:to>
    <xdr:sp>
      <xdr:nvSpPr>
        <xdr:cNvPr id="10" name="文本框 9"/>
        <xdr:cNvSpPr txBox="1"/>
      </xdr:nvSpPr>
      <xdr:spPr>
        <a:xfrm>
          <a:off x="11456035" y="172085"/>
          <a:ext cx="962025" cy="460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超期率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491288</xdr:colOff>
      <xdr:row>1</xdr:row>
      <xdr:rowOff>210555</xdr:rowOff>
    </xdr:from>
    <xdr:to>
      <xdr:col>10</xdr:col>
      <xdr:colOff>180471</xdr:colOff>
      <xdr:row>6</xdr:row>
      <xdr:rowOff>148391</xdr:rowOff>
    </xdr:to>
    <xdr:graphicFrame>
      <xdr:nvGraphicFramePr>
        <xdr:cNvPr id="2" name="图表 1"/>
        <xdr:cNvGraphicFramePr/>
      </xdr:nvGraphicFramePr>
      <xdr:xfrm>
        <a:off x="7907020" y="492125"/>
        <a:ext cx="3067685" cy="1718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701845</xdr:colOff>
      <xdr:row>0</xdr:row>
      <xdr:rowOff>160420</xdr:rowOff>
    </xdr:from>
    <xdr:to>
      <xdr:col>9</xdr:col>
      <xdr:colOff>240631</xdr:colOff>
      <xdr:row>1</xdr:row>
      <xdr:rowOff>280736</xdr:rowOff>
    </xdr:to>
    <xdr:sp>
      <xdr:nvSpPr>
        <xdr:cNvPr id="3" name="文本框 2"/>
        <xdr:cNvSpPr txBox="1"/>
      </xdr:nvSpPr>
      <xdr:spPr>
        <a:xfrm>
          <a:off x="9015095" y="160020"/>
          <a:ext cx="1062355" cy="40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完成率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  <xdr:twoCellAnchor>
    <xdr:from>
      <xdr:col>9</xdr:col>
      <xdr:colOff>370973</xdr:colOff>
      <xdr:row>1</xdr:row>
      <xdr:rowOff>218575</xdr:rowOff>
    </xdr:from>
    <xdr:to>
      <xdr:col>18</xdr:col>
      <xdr:colOff>200526</xdr:colOff>
      <xdr:row>6</xdr:row>
      <xdr:rowOff>150395</xdr:rowOff>
    </xdr:to>
    <xdr:graphicFrame>
      <xdr:nvGraphicFramePr>
        <xdr:cNvPr id="4" name="图表 3"/>
        <xdr:cNvGraphicFramePr/>
      </xdr:nvGraphicFramePr>
      <xdr:xfrm>
        <a:off x="10208260" y="500380"/>
        <a:ext cx="3224530" cy="1712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52137</xdr:colOff>
      <xdr:row>0</xdr:row>
      <xdr:rowOff>172451</xdr:rowOff>
    </xdr:from>
    <xdr:to>
      <xdr:col>15</xdr:col>
      <xdr:colOff>100263</xdr:colOff>
      <xdr:row>1</xdr:row>
      <xdr:rowOff>350920</xdr:rowOff>
    </xdr:to>
    <xdr:sp>
      <xdr:nvSpPr>
        <xdr:cNvPr id="5" name="文本框 4"/>
        <xdr:cNvSpPr txBox="1"/>
      </xdr:nvSpPr>
      <xdr:spPr>
        <a:xfrm>
          <a:off x="11456035" y="172085"/>
          <a:ext cx="962025" cy="460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超期率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471236</xdr:colOff>
      <xdr:row>1</xdr:row>
      <xdr:rowOff>210555</xdr:rowOff>
    </xdr:from>
    <xdr:to>
      <xdr:col>10</xdr:col>
      <xdr:colOff>160419</xdr:colOff>
      <xdr:row>6</xdr:row>
      <xdr:rowOff>148391</xdr:rowOff>
    </xdr:to>
    <xdr:graphicFrame>
      <xdr:nvGraphicFramePr>
        <xdr:cNvPr id="2" name="图表 1"/>
        <xdr:cNvGraphicFramePr/>
      </xdr:nvGraphicFramePr>
      <xdr:xfrm>
        <a:off x="8391525" y="492125"/>
        <a:ext cx="2907030" cy="1718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701845</xdr:colOff>
      <xdr:row>0</xdr:row>
      <xdr:rowOff>160420</xdr:rowOff>
    </xdr:from>
    <xdr:to>
      <xdr:col>9</xdr:col>
      <xdr:colOff>240631</xdr:colOff>
      <xdr:row>1</xdr:row>
      <xdr:rowOff>280736</xdr:rowOff>
    </xdr:to>
    <xdr:sp>
      <xdr:nvSpPr>
        <xdr:cNvPr id="3" name="文本框 2"/>
        <xdr:cNvSpPr txBox="1"/>
      </xdr:nvSpPr>
      <xdr:spPr>
        <a:xfrm>
          <a:off x="9519285" y="160020"/>
          <a:ext cx="1062355" cy="40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完成率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  <xdr:twoCellAnchor>
    <xdr:from>
      <xdr:col>9</xdr:col>
      <xdr:colOff>401052</xdr:colOff>
      <xdr:row>1</xdr:row>
      <xdr:rowOff>218575</xdr:rowOff>
    </xdr:from>
    <xdr:to>
      <xdr:col>18</xdr:col>
      <xdr:colOff>230605</xdr:colOff>
      <xdr:row>6</xdr:row>
      <xdr:rowOff>150395</xdr:rowOff>
    </xdr:to>
    <xdr:graphicFrame>
      <xdr:nvGraphicFramePr>
        <xdr:cNvPr id="4" name="图表 3"/>
        <xdr:cNvGraphicFramePr/>
      </xdr:nvGraphicFramePr>
      <xdr:xfrm>
        <a:off x="10742295" y="500380"/>
        <a:ext cx="556260" cy="1712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52137</xdr:colOff>
      <xdr:row>0</xdr:row>
      <xdr:rowOff>172451</xdr:rowOff>
    </xdr:from>
    <xdr:to>
      <xdr:col>15</xdr:col>
      <xdr:colOff>100263</xdr:colOff>
      <xdr:row>1</xdr:row>
      <xdr:rowOff>350920</xdr:rowOff>
    </xdr:to>
    <xdr:sp>
      <xdr:nvSpPr>
        <xdr:cNvPr id="5" name="文本框 4"/>
        <xdr:cNvSpPr txBox="1"/>
      </xdr:nvSpPr>
      <xdr:spPr>
        <a:xfrm>
          <a:off x="11298555" y="172085"/>
          <a:ext cx="0" cy="460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超期率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501314</xdr:colOff>
      <xdr:row>1</xdr:row>
      <xdr:rowOff>210555</xdr:rowOff>
    </xdr:from>
    <xdr:to>
      <xdr:col>10</xdr:col>
      <xdr:colOff>190497</xdr:colOff>
      <xdr:row>6</xdr:row>
      <xdr:rowOff>148391</xdr:rowOff>
    </xdr:to>
    <xdr:graphicFrame>
      <xdr:nvGraphicFramePr>
        <xdr:cNvPr id="2" name="图表 1"/>
        <xdr:cNvGraphicFramePr/>
      </xdr:nvGraphicFramePr>
      <xdr:xfrm>
        <a:off x="7917180" y="492125"/>
        <a:ext cx="2877185" cy="1718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701845</xdr:colOff>
      <xdr:row>0</xdr:row>
      <xdr:rowOff>160420</xdr:rowOff>
    </xdr:from>
    <xdr:to>
      <xdr:col>9</xdr:col>
      <xdr:colOff>240631</xdr:colOff>
      <xdr:row>1</xdr:row>
      <xdr:rowOff>280736</xdr:rowOff>
    </xdr:to>
    <xdr:sp>
      <xdr:nvSpPr>
        <xdr:cNvPr id="3" name="文本框 2"/>
        <xdr:cNvSpPr txBox="1"/>
      </xdr:nvSpPr>
      <xdr:spPr>
        <a:xfrm>
          <a:off x="9015095" y="160020"/>
          <a:ext cx="1062355" cy="40259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完成率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  <xdr:twoCellAnchor>
    <xdr:from>
      <xdr:col>9</xdr:col>
      <xdr:colOff>401052</xdr:colOff>
      <xdr:row>1</xdr:row>
      <xdr:rowOff>218575</xdr:rowOff>
    </xdr:from>
    <xdr:to>
      <xdr:col>18</xdr:col>
      <xdr:colOff>230605</xdr:colOff>
      <xdr:row>6</xdr:row>
      <xdr:rowOff>150395</xdr:rowOff>
    </xdr:to>
    <xdr:graphicFrame>
      <xdr:nvGraphicFramePr>
        <xdr:cNvPr id="4" name="图表 3"/>
        <xdr:cNvGraphicFramePr/>
      </xdr:nvGraphicFramePr>
      <xdr:xfrm>
        <a:off x="10238105" y="500380"/>
        <a:ext cx="556260" cy="1712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52137</xdr:colOff>
      <xdr:row>0</xdr:row>
      <xdr:rowOff>172451</xdr:rowOff>
    </xdr:from>
    <xdr:to>
      <xdr:col>15</xdr:col>
      <xdr:colOff>100263</xdr:colOff>
      <xdr:row>1</xdr:row>
      <xdr:rowOff>350920</xdr:rowOff>
    </xdr:to>
    <xdr:sp>
      <xdr:nvSpPr>
        <xdr:cNvPr id="5" name="文本框 4"/>
        <xdr:cNvSpPr txBox="1"/>
      </xdr:nvSpPr>
      <xdr:spPr>
        <a:xfrm>
          <a:off x="10794365" y="172085"/>
          <a:ext cx="0" cy="4603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0">
              <a:latin typeface="思源黑体 Medium" panose="020B0600000000000000" pitchFamily="34" charset="-122"/>
              <a:ea typeface="思源黑体 Medium" panose="020B0600000000000000" pitchFamily="34" charset="-122"/>
            </a:rPr>
            <a:t>超期率</a:t>
          </a:r>
          <a:endParaRPr lang="zh-CN" altLang="en-US" sz="1400" b="0">
            <a:latin typeface="思源黑体 Medium" panose="020B0600000000000000" pitchFamily="34" charset="-122"/>
            <a:ea typeface="思源黑体 Medium" panose="020B0600000000000000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9DDEB"/>
  </sheetPr>
  <dimension ref="A1"/>
  <sheetViews>
    <sheetView showGridLines="0" workbookViewId="0">
      <selection activeCell="C18" sqref="C18"/>
    </sheetView>
  </sheetViews>
  <sheetFormatPr defaultColWidth="9" defaultRowHeight="14"/>
  <cols>
    <col min="1" max="16384" width="8.88333333333333" style="117"/>
  </cols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0"/>
  <sheetViews>
    <sheetView showGridLines="0" zoomScale="76" zoomScaleNormal="76" workbookViewId="0">
      <pane xSplit="6" ySplit="10" topLeftCell="G11" activePane="bottomRight" state="frozen"/>
      <selection/>
      <selection pane="topRight"/>
      <selection pane="bottomLeft"/>
      <selection pane="bottomRight" activeCell="C18" sqref="C18"/>
    </sheetView>
  </sheetViews>
  <sheetFormatPr defaultColWidth="8.88333333333333" defaultRowHeight="13"/>
  <cols>
    <col min="1" max="1" width="14.5583333333333" style="4" customWidth="1"/>
    <col min="2" max="2" width="20.775" style="4" customWidth="1"/>
    <col min="3" max="3" width="19" style="4" customWidth="1"/>
    <col min="4" max="5" width="15.1083333333333" style="4" customWidth="1"/>
    <col min="6" max="6" width="12.775" style="4" customWidth="1"/>
    <col min="7" max="7" width="11.775" style="4" customWidth="1"/>
    <col min="8" max="8" width="10.3333333333333" style="4" customWidth="1"/>
    <col min="9" max="9" width="9.66666666666667" style="4" customWidth="1"/>
    <col min="10" max="10" width="12.5583333333333" style="4" customWidth="1"/>
    <col min="11" max="41" width="4" style="4" customWidth="1"/>
    <col min="42" max="43" width="3.21666666666667" style="4" customWidth="1"/>
    <col min="44" max="44" width="9.88333333333333" style="4" customWidth="1"/>
    <col min="45" max="45" width="11" style="4" customWidth="1"/>
    <col min="46" max="46" width="5.66666666666667" style="4" customWidth="1"/>
    <col min="47" max="47" width="7.44166666666667" style="4" customWidth="1"/>
    <col min="48" max="16384" width="8.88333333333333" style="4"/>
  </cols>
  <sheetData>
    <row r="1" ht="22.2" customHeight="1"/>
    <row r="2" s="1" customFormat="1" ht="28.05" customHeight="1" spans="1:41">
      <c r="A2" s="5" t="s">
        <v>0</v>
      </c>
      <c r="B2" s="6">
        <v>2025</v>
      </c>
      <c r="D2" s="7" t="s">
        <v>1</v>
      </c>
      <c r="E2" s="7" t="s">
        <v>2</v>
      </c>
      <c r="F2" s="7" t="s">
        <v>3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</row>
    <row r="3" s="1" customFormat="1" ht="28.05" customHeight="1" spans="1:44">
      <c r="A3" s="5" t="s">
        <v>4</v>
      </c>
      <c r="B3" s="6">
        <v>4</v>
      </c>
      <c r="C3" s="8"/>
      <c r="D3" s="9" t="s">
        <v>5</v>
      </c>
      <c r="E3" s="9">
        <f>COUNTIF($H$11:$H$26,D3)</f>
        <v>5</v>
      </c>
      <c r="F3" s="10">
        <f>E3/$E$6</f>
        <v>0.3125</v>
      </c>
      <c r="G3" s="8"/>
      <c r="H3" s="11"/>
      <c r="I3" s="11"/>
      <c r="J3" s="8"/>
      <c r="K3" s="8"/>
      <c r="L3" s="8"/>
      <c r="M3" s="8"/>
      <c r="N3" s="8"/>
      <c r="O3" s="8"/>
      <c r="P3" s="8"/>
      <c r="Q3" s="8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8"/>
      <c r="AQ3" s="8"/>
      <c r="AR3" s="8"/>
    </row>
    <row r="4" s="1" customFormat="1" ht="28.05" customHeight="1" spans="1:44">
      <c r="A4" s="5" t="s">
        <v>6</v>
      </c>
      <c r="B4" s="12">
        <v>45543</v>
      </c>
      <c r="C4" s="8"/>
      <c r="D4" s="9" t="s">
        <v>7</v>
      </c>
      <c r="E4" s="9">
        <f>COUNTIF($H$11:$H$26,D4)</f>
        <v>7</v>
      </c>
      <c r="F4" s="10">
        <f t="shared" ref="F4:F5" si="0">E4/$E$6</f>
        <v>0.4375</v>
      </c>
      <c r="G4" s="8"/>
      <c r="I4" s="48" t="str">
        <f>E5&amp;"项"</f>
        <v>4项</v>
      </c>
      <c r="J4" s="49"/>
      <c r="K4" s="8"/>
      <c r="L4" s="8"/>
      <c r="M4" s="50" t="str">
        <f>SUM(J11:J26)&amp;"项"</f>
        <v>3项</v>
      </c>
      <c r="N4" s="50"/>
      <c r="O4" s="50"/>
      <c r="P4" s="8"/>
      <c r="Q4" s="8"/>
      <c r="R4" s="60"/>
      <c r="S4" s="61" t="s">
        <v>8</v>
      </c>
      <c r="T4" s="61">
        <f>E6-T5</f>
        <v>13</v>
      </c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8"/>
      <c r="AQ4" s="8"/>
      <c r="AR4" s="8"/>
    </row>
    <row r="5" s="1" customFormat="1" ht="28.05" customHeight="1" spans="3:44">
      <c r="C5" s="8"/>
      <c r="D5" s="9" t="s">
        <v>9</v>
      </c>
      <c r="E5" s="9">
        <f>COUNTIF($H$11:$H$26,D5)</f>
        <v>4</v>
      </c>
      <c r="F5" s="10">
        <f t="shared" si="0"/>
        <v>0.25</v>
      </c>
      <c r="G5" s="8"/>
      <c r="I5" s="51">
        <f>F5</f>
        <v>0.25</v>
      </c>
      <c r="J5" s="8"/>
      <c r="K5" s="8"/>
      <c r="L5" s="8"/>
      <c r="M5" s="52">
        <f>SUM(J11:J26)/E6</f>
        <v>0.1875</v>
      </c>
      <c r="N5" s="52"/>
      <c r="O5" s="52"/>
      <c r="P5" s="8"/>
      <c r="Q5" s="8"/>
      <c r="R5" s="60"/>
      <c r="S5" s="61" t="s">
        <v>10</v>
      </c>
      <c r="T5" s="61">
        <f>SUM(J11:J26)</f>
        <v>3</v>
      </c>
      <c r="U5" s="60"/>
      <c r="V5" s="60"/>
      <c r="W5" s="60"/>
      <c r="X5" s="60"/>
      <c r="Y5" s="60"/>
      <c r="Z5" s="62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8"/>
      <c r="AQ5" s="8"/>
      <c r="AR5" s="8"/>
    </row>
    <row r="6" s="1" customFormat="1" ht="28.05" customHeight="1" spans="1:44">
      <c r="A6" s="8"/>
      <c r="B6" s="13"/>
      <c r="C6" s="8"/>
      <c r="D6" s="14" t="s">
        <v>11</v>
      </c>
      <c r="E6" s="14">
        <f>SUM(E3:E5)</f>
        <v>16</v>
      </c>
      <c r="F6" s="15">
        <f>SUM(F3:F5)</f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3"/>
      <c r="AJ6" s="60"/>
      <c r="AK6" s="60"/>
      <c r="AL6" s="60"/>
      <c r="AM6" s="60"/>
      <c r="AN6" s="60"/>
      <c r="AO6" s="60"/>
      <c r="AP6" s="8"/>
      <c r="AQ6" s="8"/>
      <c r="AR6" s="8"/>
    </row>
    <row r="7" ht="20.4" customHeight="1" spans="1:4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46"/>
      <c r="AQ7" s="46"/>
      <c r="AR7" s="46"/>
    </row>
    <row r="8" s="1" customFormat="1" ht="27" customHeight="1" spans="1:45">
      <c r="A8" s="17" t="s">
        <v>12</v>
      </c>
      <c r="B8" s="18"/>
      <c r="C8" s="18"/>
      <c r="D8" s="18"/>
      <c r="E8" s="18"/>
      <c r="F8" s="18"/>
      <c r="G8" s="18" t="s">
        <v>13</v>
      </c>
      <c r="H8" s="18"/>
      <c r="I8" s="18"/>
      <c r="J8" s="18"/>
      <c r="K8" s="18" t="str">
        <f>B3&amp;"月"</f>
        <v>4月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95"/>
      <c r="AP8" s="96"/>
      <c r="AQ8" s="96"/>
      <c r="AR8" s="4"/>
      <c r="AS8" s="4"/>
    </row>
    <row r="9" s="1" customFormat="1" ht="27" customHeight="1" spans="1:45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53" t="s">
        <v>22</v>
      </c>
      <c r="J9" s="53" t="s">
        <v>23</v>
      </c>
      <c r="K9" s="54" t="str">
        <f>TEXT(K10,"aaa")</f>
        <v>二</v>
      </c>
      <c r="L9" s="54" t="str">
        <f t="shared" ref="L9:AO9" si="1">TEXT(L10,"aaa")</f>
        <v>三</v>
      </c>
      <c r="M9" s="54" t="str">
        <f t="shared" si="1"/>
        <v>四</v>
      </c>
      <c r="N9" s="54" t="str">
        <f t="shared" si="1"/>
        <v>五</v>
      </c>
      <c r="O9" s="54" t="str">
        <f t="shared" si="1"/>
        <v>六</v>
      </c>
      <c r="P9" s="54" t="str">
        <f t="shared" si="1"/>
        <v>日</v>
      </c>
      <c r="Q9" s="54" t="str">
        <f t="shared" si="1"/>
        <v>一</v>
      </c>
      <c r="R9" s="54" t="str">
        <f t="shared" si="1"/>
        <v>二</v>
      </c>
      <c r="S9" s="54" t="str">
        <f t="shared" si="1"/>
        <v>三</v>
      </c>
      <c r="T9" s="54" t="str">
        <f t="shared" si="1"/>
        <v>四</v>
      </c>
      <c r="U9" s="54" t="str">
        <f t="shared" si="1"/>
        <v>五</v>
      </c>
      <c r="V9" s="54" t="str">
        <f t="shared" si="1"/>
        <v>六</v>
      </c>
      <c r="W9" s="54" t="str">
        <f t="shared" si="1"/>
        <v>日</v>
      </c>
      <c r="X9" s="54" t="str">
        <f t="shared" si="1"/>
        <v>一</v>
      </c>
      <c r="Y9" s="54" t="str">
        <f t="shared" si="1"/>
        <v>二</v>
      </c>
      <c r="Z9" s="54" t="str">
        <f t="shared" si="1"/>
        <v>三</v>
      </c>
      <c r="AA9" s="54" t="str">
        <f t="shared" si="1"/>
        <v>四</v>
      </c>
      <c r="AB9" s="54" t="str">
        <f t="shared" si="1"/>
        <v>五</v>
      </c>
      <c r="AC9" s="54" t="str">
        <f t="shared" si="1"/>
        <v>六</v>
      </c>
      <c r="AD9" s="54" t="str">
        <f t="shared" si="1"/>
        <v>日</v>
      </c>
      <c r="AE9" s="54" t="str">
        <f t="shared" si="1"/>
        <v>一</v>
      </c>
      <c r="AF9" s="54" t="str">
        <f t="shared" si="1"/>
        <v>二</v>
      </c>
      <c r="AG9" s="54" t="str">
        <f t="shared" si="1"/>
        <v>三</v>
      </c>
      <c r="AH9" s="54" t="str">
        <f t="shared" si="1"/>
        <v>四</v>
      </c>
      <c r="AI9" s="54" t="str">
        <f t="shared" si="1"/>
        <v>五</v>
      </c>
      <c r="AJ9" s="54" t="str">
        <f t="shared" si="1"/>
        <v>六</v>
      </c>
      <c r="AK9" s="54" t="str">
        <f t="shared" si="1"/>
        <v>日</v>
      </c>
      <c r="AL9" s="54" t="str">
        <f t="shared" si="1"/>
        <v>一</v>
      </c>
      <c r="AM9" s="54" t="str">
        <f t="shared" si="1"/>
        <v>二</v>
      </c>
      <c r="AN9" s="54" t="str">
        <f t="shared" si="1"/>
        <v>三</v>
      </c>
      <c r="AO9" s="66" t="str">
        <f t="shared" si="1"/>
        <v>四</v>
      </c>
      <c r="AP9" s="97"/>
      <c r="AQ9" s="97"/>
      <c r="AR9" s="4"/>
      <c r="AS9" s="4"/>
    </row>
    <row r="10" s="1" customFormat="1" ht="27" customHeight="1" spans="1:44">
      <c r="A10" s="104"/>
      <c r="B10" s="105"/>
      <c r="C10" s="105"/>
      <c r="D10" s="105"/>
      <c r="E10" s="105"/>
      <c r="F10" s="105"/>
      <c r="G10" s="105"/>
      <c r="H10" s="105"/>
      <c r="I10" s="105"/>
      <c r="J10" s="113"/>
      <c r="K10" s="114">
        <f>DATE(B2,B3,1)</f>
        <v>45748</v>
      </c>
      <c r="L10" s="114">
        <f>K10+1</f>
        <v>45749</v>
      </c>
      <c r="M10" s="114">
        <f t="shared" ref="M10:AO10" si="2">L10+1</f>
        <v>45750</v>
      </c>
      <c r="N10" s="114">
        <f t="shared" si="2"/>
        <v>45751</v>
      </c>
      <c r="O10" s="114">
        <f t="shared" si="2"/>
        <v>45752</v>
      </c>
      <c r="P10" s="114">
        <f t="shared" si="2"/>
        <v>45753</v>
      </c>
      <c r="Q10" s="114">
        <f t="shared" si="2"/>
        <v>45754</v>
      </c>
      <c r="R10" s="114">
        <f t="shared" si="2"/>
        <v>45755</v>
      </c>
      <c r="S10" s="114">
        <f t="shared" si="2"/>
        <v>45756</v>
      </c>
      <c r="T10" s="114">
        <f t="shared" si="2"/>
        <v>45757</v>
      </c>
      <c r="U10" s="114">
        <f t="shared" si="2"/>
        <v>45758</v>
      </c>
      <c r="V10" s="114">
        <f t="shared" si="2"/>
        <v>45759</v>
      </c>
      <c r="W10" s="114">
        <f t="shared" si="2"/>
        <v>45760</v>
      </c>
      <c r="X10" s="114">
        <f t="shared" si="2"/>
        <v>45761</v>
      </c>
      <c r="Y10" s="114">
        <f t="shared" si="2"/>
        <v>45762</v>
      </c>
      <c r="Z10" s="114">
        <f t="shared" si="2"/>
        <v>45763</v>
      </c>
      <c r="AA10" s="114">
        <f t="shared" si="2"/>
        <v>45764</v>
      </c>
      <c r="AB10" s="114">
        <f t="shared" si="2"/>
        <v>45765</v>
      </c>
      <c r="AC10" s="114">
        <f t="shared" si="2"/>
        <v>45766</v>
      </c>
      <c r="AD10" s="114">
        <f t="shared" si="2"/>
        <v>45767</v>
      </c>
      <c r="AE10" s="114">
        <f t="shared" si="2"/>
        <v>45768</v>
      </c>
      <c r="AF10" s="114">
        <f t="shared" si="2"/>
        <v>45769</v>
      </c>
      <c r="AG10" s="114">
        <f t="shared" si="2"/>
        <v>45770</v>
      </c>
      <c r="AH10" s="114">
        <f t="shared" si="2"/>
        <v>45771</v>
      </c>
      <c r="AI10" s="114">
        <f t="shared" si="2"/>
        <v>45772</v>
      </c>
      <c r="AJ10" s="114">
        <f t="shared" si="2"/>
        <v>45773</v>
      </c>
      <c r="AK10" s="114">
        <f t="shared" si="2"/>
        <v>45774</v>
      </c>
      <c r="AL10" s="114">
        <f t="shared" si="2"/>
        <v>45775</v>
      </c>
      <c r="AM10" s="114">
        <f t="shared" si="2"/>
        <v>45776</v>
      </c>
      <c r="AN10" s="114">
        <f t="shared" si="2"/>
        <v>45777</v>
      </c>
      <c r="AO10" s="115">
        <f t="shared" si="2"/>
        <v>45778</v>
      </c>
      <c r="AP10" s="8"/>
      <c r="AQ10" s="8"/>
      <c r="AR10" s="8"/>
    </row>
    <row r="11" s="1" customFormat="1" ht="27" customHeight="1" spans="1:45">
      <c r="A11" s="106">
        <v>1</v>
      </c>
      <c r="B11" s="107"/>
      <c r="C11" s="80" t="s">
        <v>24</v>
      </c>
      <c r="D11" s="81">
        <v>45540</v>
      </c>
      <c r="E11" s="82">
        <v>45545</v>
      </c>
      <c r="F11" s="83" t="str">
        <f>E11-D11+1&amp;"天"</f>
        <v>6天</v>
      </c>
      <c r="G11" s="108">
        <v>0.2</v>
      </c>
      <c r="H11" s="85" t="s">
        <v>7</v>
      </c>
      <c r="I11" s="80" t="str">
        <f>IF(H11="已完成",1,"")</f>
        <v/>
      </c>
      <c r="J11" s="80" t="str">
        <f>IF(AND($B$4&gt;E11,H11&lt;&gt;"已完成"),1,"")</f>
        <v/>
      </c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116"/>
      <c r="AP11" s="8"/>
      <c r="AQ11" s="8"/>
      <c r="AR11" s="8"/>
      <c r="AS11" s="100"/>
    </row>
    <row r="12" s="1" customFormat="1" ht="27" customHeight="1" spans="1:44">
      <c r="A12" s="109"/>
      <c r="B12" s="110"/>
      <c r="C12" s="27" t="s">
        <v>25</v>
      </c>
      <c r="D12" s="28">
        <v>45536</v>
      </c>
      <c r="E12" s="29">
        <v>45540</v>
      </c>
      <c r="F12" s="30" t="str">
        <f t="shared" ref="F12:F26" si="3">E12-D12+1&amp;"天"</f>
        <v>5天</v>
      </c>
      <c r="G12" s="31">
        <v>1</v>
      </c>
      <c r="H12" s="32" t="s">
        <v>9</v>
      </c>
      <c r="I12" s="27">
        <f t="shared" ref="I12:I26" si="4">IF(H12="已完成",1,"")</f>
        <v>1</v>
      </c>
      <c r="J12" s="27" t="str">
        <f t="shared" ref="J12:J26" si="5">IF(AND($B$4&gt;E12,H12&lt;&gt;"已完成"),1,"")</f>
        <v/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99"/>
      <c r="AP12" s="8"/>
      <c r="AQ12" s="8"/>
      <c r="AR12" s="8"/>
    </row>
    <row r="13" s="1" customFormat="1" ht="27" customHeight="1" spans="1:44">
      <c r="A13" s="109"/>
      <c r="B13" s="110"/>
      <c r="C13" s="27" t="s">
        <v>26</v>
      </c>
      <c r="D13" s="28">
        <v>45524</v>
      </c>
      <c r="E13" s="29">
        <v>45538</v>
      </c>
      <c r="F13" s="30" t="str">
        <f t="shared" si="3"/>
        <v>15天</v>
      </c>
      <c r="G13" s="31">
        <v>0.15</v>
      </c>
      <c r="H13" s="32" t="s">
        <v>7</v>
      </c>
      <c r="I13" s="27" t="str">
        <f t="shared" si="4"/>
        <v/>
      </c>
      <c r="J13" s="27">
        <f t="shared" si="5"/>
        <v>1</v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99"/>
      <c r="AP13" s="8"/>
      <c r="AQ13" s="8"/>
      <c r="AR13" s="8"/>
    </row>
    <row r="14" s="1" customFormat="1" ht="27" customHeight="1" spans="1:44">
      <c r="A14" s="111"/>
      <c r="B14" s="112"/>
      <c r="C14" s="34" t="s">
        <v>27</v>
      </c>
      <c r="D14" s="35">
        <v>45545</v>
      </c>
      <c r="E14" s="36">
        <v>45553</v>
      </c>
      <c r="F14" s="37" t="str">
        <f t="shared" si="3"/>
        <v>9天</v>
      </c>
      <c r="G14" s="38">
        <v>0</v>
      </c>
      <c r="H14" s="39" t="s">
        <v>5</v>
      </c>
      <c r="I14" s="34" t="str">
        <f t="shared" si="4"/>
        <v/>
      </c>
      <c r="J14" s="34" t="str">
        <f t="shared" si="5"/>
        <v/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101"/>
      <c r="AP14" s="8"/>
      <c r="AQ14" s="8"/>
      <c r="AR14" s="8"/>
    </row>
    <row r="15" s="1" customFormat="1" ht="27" customHeight="1" spans="1:44">
      <c r="A15" s="79">
        <v>2</v>
      </c>
      <c r="B15" s="80" t="s">
        <v>28</v>
      </c>
      <c r="C15" s="80" t="s">
        <v>29</v>
      </c>
      <c r="D15" s="81">
        <v>45532</v>
      </c>
      <c r="E15" s="81">
        <v>45549</v>
      </c>
      <c r="F15" s="83" t="str">
        <f t="shared" si="3"/>
        <v>18天</v>
      </c>
      <c r="G15" s="108">
        <v>1</v>
      </c>
      <c r="H15" s="85" t="s">
        <v>9</v>
      </c>
      <c r="I15" s="80">
        <f t="shared" si="4"/>
        <v>1</v>
      </c>
      <c r="J15" s="80" t="str">
        <f t="shared" si="5"/>
        <v/>
      </c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116"/>
      <c r="AP15" s="8"/>
      <c r="AQ15" s="8"/>
      <c r="AR15" s="8"/>
    </row>
    <row r="16" s="1" customFormat="1" ht="27" customHeight="1" spans="1:44">
      <c r="A16" s="26"/>
      <c r="B16" s="27"/>
      <c r="C16" s="27" t="s">
        <v>30</v>
      </c>
      <c r="D16" s="28">
        <v>45524</v>
      </c>
      <c r="E16" s="28">
        <v>45538</v>
      </c>
      <c r="F16" s="30" t="str">
        <f t="shared" si="3"/>
        <v>15天</v>
      </c>
      <c r="G16" s="31">
        <v>0.2</v>
      </c>
      <c r="H16" s="32" t="s">
        <v>7</v>
      </c>
      <c r="I16" s="27" t="str">
        <f t="shared" si="4"/>
        <v/>
      </c>
      <c r="J16" s="27">
        <f t="shared" si="5"/>
        <v>1</v>
      </c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99"/>
      <c r="AP16" s="8"/>
      <c r="AQ16" s="8"/>
      <c r="AR16" s="8"/>
    </row>
    <row r="17" s="1" customFormat="1" ht="27" customHeight="1" spans="1:44">
      <c r="A17" s="26"/>
      <c r="B17" s="27"/>
      <c r="C17" s="27" t="s">
        <v>31</v>
      </c>
      <c r="D17" s="28">
        <v>45547</v>
      </c>
      <c r="E17" s="28">
        <v>45550</v>
      </c>
      <c r="F17" s="30" t="str">
        <f t="shared" si="3"/>
        <v>4天</v>
      </c>
      <c r="G17" s="31">
        <v>0</v>
      </c>
      <c r="H17" s="32" t="s">
        <v>5</v>
      </c>
      <c r="I17" s="27" t="str">
        <f t="shared" si="4"/>
        <v/>
      </c>
      <c r="J17" s="27" t="str">
        <f t="shared" si="5"/>
        <v/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99"/>
      <c r="AP17" s="8"/>
      <c r="AQ17" s="8"/>
      <c r="AR17" s="8"/>
    </row>
    <row r="18" s="1" customFormat="1" ht="27" customHeight="1" spans="1:44">
      <c r="A18" s="33"/>
      <c r="B18" s="34"/>
      <c r="C18" s="34" t="s">
        <v>32</v>
      </c>
      <c r="D18" s="35">
        <v>45536</v>
      </c>
      <c r="E18" s="35">
        <v>45538</v>
      </c>
      <c r="F18" s="37" t="str">
        <f t="shared" si="3"/>
        <v>3天</v>
      </c>
      <c r="G18" s="38">
        <v>0.8</v>
      </c>
      <c r="H18" s="39" t="s">
        <v>7</v>
      </c>
      <c r="I18" s="34" t="str">
        <f t="shared" si="4"/>
        <v/>
      </c>
      <c r="J18" s="34">
        <f t="shared" si="5"/>
        <v>1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101"/>
      <c r="AP18" s="8"/>
      <c r="AQ18" s="8"/>
      <c r="AR18" s="8"/>
    </row>
    <row r="19" s="1" customFormat="1" ht="27" customHeight="1" spans="1:44">
      <c r="A19" s="79">
        <v>3</v>
      </c>
      <c r="B19" s="80" t="s">
        <v>33</v>
      </c>
      <c r="C19" s="80" t="s">
        <v>34</v>
      </c>
      <c r="D19" s="81">
        <v>45537</v>
      </c>
      <c r="E19" s="81">
        <v>45545</v>
      </c>
      <c r="F19" s="83" t="str">
        <f t="shared" si="3"/>
        <v>9天</v>
      </c>
      <c r="G19" s="108">
        <v>0.3</v>
      </c>
      <c r="H19" s="85" t="s">
        <v>7</v>
      </c>
      <c r="I19" s="80" t="str">
        <f t="shared" si="4"/>
        <v/>
      </c>
      <c r="J19" s="80" t="str">
        <f t="shared" si="5"/>
        <v/>
      </c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116"/>
      <c r="AP19" s="8"/>
      <c r="AQ19" s="8"/>
      <c r="AR19" s="8"/>
    </row>
    <row r="20" s="1" customFormat="1" ht="27" customHeight="1" spans="1:44">
      <c r="A20" s="26"/>
      <c r="B20" s="27"/>
      <c r="C20" s="27" t="s">
        <v>35</v>
      </c>
      <c r="D20" s="28">
        <v>45543</v>
      </c>
      <c r="E20" s="28">
        <v>45560</v>
      </c>
      <c r="F20" s="30" t="str">
        <f t="shared" si="3"/>
        <v>18天</v>
      </c>
      <c r="G20" s="31">
        <v>0.1</v>
      </c>
      <c r="H20" s="32" t="s">
        <v>7</v>
      </c>
      <c r="I20" s="27" t="str">
        <f t="shared" si="4"/>
        <v/>
      </c>
      <c r="J20" s="27" t="str">
        <f t="shared" si="5"/>
        <v/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99"/>
      <c r="AP20" s="8"/>
      <c r="AQ20" s="8"/>
      <c r="AR20" s="8"/>
    </row>
    <row r="21" s="1" customFormat="1" ht="27" customHeight="1" spans="1:44">
      <c r="A21" s="26"/>
      <c r="B21" s="27"/>
      <c r="C21" s="27" t="s">
        <v>36</v>
      </c>
      <c r="D21" s="28">
        <v>45536</v>
      </c>
      <c r="E21" s="28">
        <v>45555</v>
      </c>
      <c r="F21" s="30" t="str">
        <f t="shared" si="3"/>
        <v>20天</v>
      </c>
      <c r="G21" s="31">
        <v>1</v>
      </c>
      <c r="H21" s="32" t="s">
        <v>9</v>
      </c>
      <c r="I21" s="27">
        <f t="shared" si="4"/>
        <v>1</v>
      </c>
      <c r="J21" s="27" t="str">
        <f t="shared" si="5"/>
        <v/>
      </c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99"/>
      <c r="AP21" s="8"/>
      <c r="AQ21" s="8"/>
      <c r="AR21" s="8"/>
    </row>
    <row r="22" s="1" customFormat="1" ht="27" customHeight="1" spans="1:44">
      <c r="A22" s="33"/>
      <c r="B22" s="34"/>
      <c r="C22" s="34" t="s">
        <v>37</v>
      </c>
      <c r="D22" s="35">
        <v>45556</v>
      </c>
      <c r="E22" s="35">
        <v>45565</v>
      </c>
      <c r="F22" s="37" t="str">
        <f t="shared" si="3"/>
        <v>10天</v>
      </c>
      <c r="G22" s="38">
        <v>0</v>
      </c>
      <c r="H22" s="39" t="s">
        <v>5</v>
      </c>
      <c r="I22" s="34" t="str">
        <f t="shared" si="4"/>
        <v/>
      </c>
      <c r="J22" s="34" t="str">
        <f t="shared" si="5"/>
        <v/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101"/>
      <c r="AP22" s="8"/>
      <c r="AQ22" s="8"/>
      <c r="AR22" s="8"/>
    </row>
    <row r="23" s="1" customFormat="1" ht="27" customHeight="1" spans="1:44">
      <c r="A23" s="79">
        <v>4</v>
      </c>
      <c r="B23" s="80" t="s">
        <v>38</v>
      </c>
      <c r="C23" s="80" t="s">
        <v>39</v>
      </c>
      <c r="D23" s="81">
        <v>45532</v>
      </c>
      <c r="E23" s="81">
        <v>45540</v>
      </c>
      <c r="F23" s="83" t="str">
        <f t="shared" si="3"/>
        <v>9天</v>
      </c>
      <c r="G23" s="108">
        <v>1</v>
      </c>
      <c r="H23" s="85" t="s">
        <v>9</v>
      </c>
      <c r="I23" s="80">
        <f t="shared" si="4"/>
        <v>1</v>
      </c>
      <c r="J23" s="80" t="str">
        <f t="shared" si="5"/>
        <v/>
      </c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116"/>
      <c r="AP23" s="8"/>
      <c r="AQ23" s="8"/>
      <c r="AR23" s="8"/>
    </row>
    <row r="24" s="1" customFormat="1" ht="27" customHeight="1" spans="1:44">
      <c r="A24" s="26"/>
      <c r="B24" s="27"/>
      <c r="C24" s="27" t="s">
        <v>30</v>
      </c>
      <c r="D24" s="28">
        <v>45539</v>
      </c>
      <c r="E24" s="28">
        <v>45553</v>
      </c>
      <c r="F24" s="30" t="str">
        <f t="shared" si="3"/>
        <v>15天</v>
      </c>
      <c r="G24" s="31">
        <v>0.2</v>
      </c>
      <c r="H24" s="32" t="s">
        <v>7</v>
      </c>
      <c r="I24" s="27" t="str">
        <f t="shared" si="4"/>
        <v/>
      </c>
      <c r="J24" s="27" t="str">
        <f t="shared" si="5"/>
        <v/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99"/>
      <c r="AP24" s="8"/>
      <c r="AQ24" s="8"/>
      <c r="AR24" s="8"/>
    </row>
    <row r="25" s="1" customFormat="1" ht="27" customHeight="1" spans="1:44">
      <c r="A25" s="26"/>
      <c r="B25" s="27"/>
      <c r="C25" s="27" t="s">
        <v>40</v>
      </c>
      <c r="D25" s="28">
        <v>45545</v>
      </c>
      <c r="E25" s="28">
        <v>45555</v>
      </c>
      <c r="F25" s="30" t="str">
        <f t="shared" si="3"/>
        <v>11天</v>
      </c>
      <c r="G25" s="31">
        <v>0</v>
      </c>
      <c r="H25" s="32" t="s">
        <v>5</v>
      </c>
      <c r="I25" s="27" t="str">
        <f t="shared" si="4"/>
        <v/>
      </c>
      <c r="J25" s="27" t="str">
        <f t="shared" si="5"/>
        <v/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99"/>
      <c r="AP25" s="8"/>
      <c r="AQ25" s="8"/>
      <c r="AR25" s="8"/>
    </row>
    <row r="26" s="1" customFormat="1" ht="27" customHeight="1" spans="1:44">
      <c r="A26" s="33"/>
      <c r="B26" s="34"/>
      <c r="C26" s="34" t="s">
        <v>41</v>
      </c>
      <c r="D26" s="35">
        <v>45553</v>
      </c>
      <c r="E26" s="35">
        <v>45596</v>
      </c>
      <c r="F26" s="37" t="str">
        <f t="shared" si="3"/>
        <v>44天</v>
      </c>
      <c r="G26" s="38">
        <v>0</v>
      </c>
      <c r="H26" s="39" t="s">
        <v>5</v>
      </c>
      <c r="I26" s="34" t="str">
        <f t="shared" si="4"/>
        <v/>
      </c>
      <c r="J26" s="34" t="str">
        <f t="shared" si="5"/>
        <v/>
      </c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101"/>
      <c r="AP26" s="8"/>
      <c r="AQ26" s="8"/>
      <c r="AR26" s="8"/>
    </row>
    <row r="27" s="3" customFormat="1" ht="25.05" customHeight="1" spans="1:44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</row>
    <row r="28" spans="1:44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</row>
    <row r="30" spans="8:8">
      <c r="H30" s="47"/>
    </row>
  </sheetData>
  <mergeCells count="23">
    <mergeCell ref="M4:O4"/>
    <mergeCell ref="M5:O5"/>
    <mergeCell ref="A8:F8"/>
    <mergeCell ref="G8:J8"/>
    <mergeCell ref="K8:AO8"/>
    <mergeCell ref="A9:A10"/>
    <mergeCell ref="A11:A14"/>
    <mergeCell ref="A15:A18"/>
    <mergeCell ref="A19:A22"/>
    <mergeCell ref="A23:A26"/>
    <mergeCell ref="B9:B10"/>
    <mergeCell ref="B11:B14"/>
    <mergeCell ref="B15:B18"/>
    <mergeCell ref="B19:B22"/>
    <mergeCell ref="B23:B26"/>
    <mergeCell ref="C9:C10"/>
    <mergeCell ref="D9:D10"/>
    <mergeCell ref="E9:E10"/>
    <mergeCell ref="F9:F10"/>
    <mergeCell ref="G9:G10"/>
    <mergeCell ref="H9:H10"/>
    <mergeCell ref="I9:I10"/>
    <mergeCell ref="J9:J10"/>
  </mergeCells>
  <conditionalFormatting sqref="E3:E5">
    <cfRule type="dataBar" priority="5">
      <dataBar>
        <cfvo type="min"/>
        <cfvo type="max"/>
        <color rgb="FF92DFCB"/>
      </dataBar>
      <extLst>
        <ext xmlns:x14="http://schemas.microsoft.com/office/spreadsheetml/2009/9/main" uri="{B025F937-C7B1-47D3-B67F-A62EFF666E3E}">
          <x14:id>{23d37b2b-3021-46ad-9a2f-9eba19048494}</x14:id>
        </ext>
      </extLst>
    </cfRule>
  </conditionalFormatting>
  <conditionalFormatting sqref="G11:G26">
    <cfRule type="dataBar" priority="12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{f6f300ae-291b-4b87-8e6a-eb1823384e75}</x14:id>
        </ext>
      </extLst>
    </cfRule>
  </conditionalFormatting>
  <conditionalFormatting sqref="H11:H26">
    <cfRule type="containsText" dxfId="0" priority="2" operator="between" text="未开始">
      <formula>NOT(ISERROR(SEARCH("未开始",H11)))</formula>
    </cfRule>
    <cfRule type="containsText" dxfId="1" priority="3" operator="between" text="进行中">
      <formula>NOT(ISERROR(SEARCH("进行中",H11)))</formula>
    </cfRule>
    <cfRule type="containsText" dxfId="2" priority="4" operator="between" text="已完成">
      <formula>NOT(ISERROR(SEARCH("已完成",H11)))</formula>
    </cfRule>
  </conditionalFormatting>
  <conditionalFormatting sqref="I11:I26">
    <cfRule type="iconSet" priority="14">
      <iconSet iconSet="3Symbols2" showValue="0">
        <cfvo type="percent" val="0"/>
        <cfvo type="num" val="0"/>
        <cfvo type="num" val="0"/>
      </iconSet>
    </cfRule>
  </conditionalFormatting>
  <conditionalFormatting sqref="K11:AR11 K12:AO26">
    <cfRule type="expression" dxfId="3" priority="11">
      <formula>AND(K$10&gt;=$D11,K$10&lt;=$E11)</formula>
    </cfRule>
  </conditionalFormatting>
  <dataValidations count="1">
    <dataValidation type="list" allowBlank="1" showInputMessage="1" showErrorMessage="1" sqref="H11:H26">
      <formula1>"未开始,进行中,已完成"</formula1>
    </dataValidation>
  </dataValidation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d37b2b-3021-46ad-9a2f-9eba19048494}">
            <x14:dataBar minLength="0" maxLength="100" border="1" negativeBarBorderColorSameAsPositive="0">
              <x14:cfvo type="autoMin"/>
              <x14:cfvo type="autoMax"/>
              <x14:borderColor rgb="FF92DFCB"/>
              <x14:negativeFillColor rgb="FFFF0000"/>
              <x14:negativeBorderColor rgb="FFFF0000"/>
              <x14:axisColor rgb="FF000000"/>
            </x14:dataBar>
          </x14:cfRule>
          <xm:sqref>E3:E5</xm:sqref>
        </x14:conditionalFormatting>
        <x14:conditionalFormatting xmlns:xm="http://schemas.microsoft.com/office/excel/2006/main">
          <x14:cfRule type="dataBar" id="{f6f300ae-291b-4b87-8e6a-eb1823384e7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G11:G26</xm:sqref>
        </x14:conditionalFormatting>
        <x14:conditionalFormatting xmlns:xm="http://schemas.microsoft.com/office/excel/2006/main">
          <x14:cfRule type="iconSet" priority="16" id="{3dc30a29-2694-4ca8-a291-e4aa0873d29b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J11:J26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4"/>
  <sheetViews>
    <sheetView showGridLines="0" zoomScale="76" zoomScaleNormal="76" workbookViewId="0">
      <pane xSplit="6" ySplit="10" topLeftCell="G11" activePane="bottomRight" state="frozen"/>
      <selection/>
      <selection pane="topRight"/>
      <selection pane="bottomLeft"/>
      <selection pane="bottomRight" activeCell="C18" sqref="C18"/>
    </sheetView>
  </sheetViews>
  <sheetFormatPr defaultColWidth="8.88333333333333" defaultRowHeight="13"/>
  <cols>
    <col min="1" max="1" width="14.5583333333333" style="4" customWidth="1"/>
    <col min="2" max="2" width="20.775" style="4" customWidth="1"/>
    <col min="3" max="3" width="19" style="4" customWidth="1"/>
    <col min="4" max="5" width="15.1083333333333" style="4" customWidth="1"/>
    <col min="6" max="6" width="12.775" style="4" customWidth="1"/>
    <col min="7" max="7" width="11.775" style="4" customWidth="1"/>
    <col min="8" max="8" width="10.3333333333333" style="4" customWidth="1"/>
    <col min="9" max="9" width="9.66666666666667" style="4" customWidth="1"/>
    <col min="10" max="10" width="12.5583333333333" style="4" customWidth="1"/>
    <col min="11" max="41" width="4" style="4" customWidth="1"/>
    <col min="42" max="43" width="3.21666666666667" style="4" customWidth="1"/>
    <col min="44" max="44" width="9.88333333333333" style="4" customWidth="1"/>
    <col min="45" max="45" width="11" style="4" customWidth="1"/>
    <col min="46" max="46" width="5.66666666666667" style="4" customWidth="1"/>
    <col min="47" max="47" width="7.44166666666667" style="4" customWidth="1"/>
    <col min="48" max="16384" width="8.88333333333333" style="4"/>
  </cols>
  <sheetData>
    <row r="1" ht="22.2" customHeight="1"/>
    <row r="2" s="1" customFormat="1" ht="28.05" customHeight="1" spans="1:41">
      <c r="A2" s="5" t="s">
        <v>0</v>
      </c>
      <c r="B2" s="6">
        <v>2024</v>
      </c>
      <c r="D2" s="7" t="s">
        <v>1</v>
      </c>
      <c r="E2" s="7" t="s">
        <v>2</v>
      </c>
      <c r="F2" s="7" t="s">
        <v>3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</row>
    <row r="3" s="1" customFormat="1" ht="28.05" customHeight="1" spans="1:44">
      <c r="A3" s="5" t="s">
        <v>4</v>
      </c>
      <c r="B3" s="6">
        <v>9</v>
      </c>
      <c r="C3" s="8"/>
      <c r="D3" s="9" t="s">
        <v>5</v>
      </c>
      <c r="E3" s="9">
        <f>COUNTIF($H$12:$H$30,D3)</f>
        <v>5</v>
      </c>
      <c r="F3" s="10">
        <f>E3/$E$6</f>
        <v>0.3125</v>
      </c>
      <c r="G3" s="8"/>
      <c r="H3" s="11"/>
      <c r="I3" s="11"/>
      <c r="J3" s="8"/>
      <c r="K3" s="8"/>
      <c r="L3" s="8"/>
      <c r="M3" s="8"/>
      <c r="N3" s="8"/>
      <c r="O3" s="8"/>
      <c r="P3" s="8"/>
      <c r="Q3" s="8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8"/>
      <c r="AQ3" s="8"/>
      <c r="AR3" s="8"/>
    </row>
    <row r="4" s="1" customFormat="1" ht="28.05" customHeight="1" spans="1:44">
      <c r="A4" s="5" t="s">
        <v>6</v>
      </c>
      <c r="B4" s="12">
        <v>45543</v>
      </c>
      <c r="C4" s="8"/>
      <c r="D4" s="9" t="s">
        <v>7</v>
      </c>
      <c r="E4" s="9">
        <f>COUNTIF($H$12:$H$30,D4)</f>
        <v>7</v>
      </c>
      <c r="F4" s="10">
        <f t="shared" ref="F4:F5" si="0">E4/$E$6</f>
        <v>0.4375</v>
      </c>
      <c r="G4" s="8"/>
      <c r="I4" s="48" t="str">
        <f>E5&amp;"项"</f>
        <v>4项</v>
      </c>
      <c r="J4" s="49"/>
      <c r="K4" s="8"/>
      <c r="L4" s="8"/>
      <c r="M4" s="50" t="str">
        <f>SUM(J12:J30)&amp;"项"</f>
        <v>3项</v>
      </c>
      <c r="N4" s="50"/>
      <c r="O4" s="50"/>
      <c r="P4" s="8"/>
      <c r="Q4" s="8"/>
      <c r="R4" s="60"/>
      <c r="S4" s="61" t="s">
        <v>8</v>
      </c>
      <c r="T4" s="61">
        <f>E6-T5</f>
        <v>13</v>
      </c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8"/>
      <c r="AQ4" s="8"/>
      <c r="AR4" s="8"/>
    </row>
    <row r="5" s="1" customFormat="1" ht="28.05" customHeight="1" spans="3:44">
      <c r="C5" s="8"/>
      <c r="D5" s="9" t="s">
        <v>9</v>
      </c>
      <c r="E5" s="9">
        <f>COUNTIF($H$12:$H$30,D5)</f>
        <v>4</v>
      </c>
      <c r="F5" s="10">
        <f t="shared" si="0"/>
        <v>0.25</v>
      </c>
      <c r="G5" s="8"/>
      <c r="I5" s="51">
        <f>F5</f>
        <v>0.25</v>
      </c>
      <c r="J5" s="8"/>
      <c r="K5" s="8"/>
      <c r="L5" s="8"/>
      <c r="M5" s="52">
        <f>SUM(J12:J30)/E6</f>
        <v>0.1875</v>
      </c>
      <c r="N5" s="52"/>
      <c r="O5" s="52"/>
      <c r="P5" s="8"/>
      <c r="Q5" s="8"/>
      <c r="R5" s="60"/>
      <c r="S5" s="61" t="s">
        <v>10</v>
      </c>
      <c r="T5" s="61">
        <f>SUM(J12:J30)</f>
        <v>3</v>
      </c>
      <c r="U5" s="60"/>
      <c r="V5" s="60"/>
      <c r="W5" s="60"/>
      <c r="X5" s="60"/>
      <c r="Y5" s="60"/>
      <c r="Z5" s="62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8"/>
      <c r="AQ5" s="8"/>
      <c r="AR5" s="8"/>
    </row>
    <row r="6" s="1" customFormat="1" ht="28.05" customHeight="1" spans="1:44">
      <c r="A6" s="8"/>
      <c r="B6" s="13"/>
      <c r="C6" s="8"/>
      <c r="D6" s="14" t="s">
        <v>11</v>
      </c>
      <c r="E6" s="14">
        <f>SUM(E3:E5)</f>
        <v>16</v>
      </c>
      <c r="F6" s="15">
        <f>SUM(F3:F5)</f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3"/>
      <c r="AJ6" s="60"/>
      <c r="AK6" s="60"/>
      <c r="AL6" s="60"/>
      <c r="AM6" s="60"/>
      <c r="AN6" s="60"/>
      <c r="AO6" s="60"/>
      <c r="AP6" s="8"/>
      <c r="AQ6" s="8"/>
      <c r="AR6" s="8"/>
    </row>
    <row r="7" ht="20.4" customHeight="1" spans="1:44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46"/>
      <c r="AQ7" s="46"/>
      <c r="AR7" s="46"/>
    </row>
    <row r="8" s="1" customFormat="1" ht="27" customHeight="1" spans="1:45">
      <c r="A8" s="17" t="s">
        <v>12</v>
      </c>
      <c r="B8" s="18"/>
      <c r="C8" s="18"/>
      <c r="D8" s="18"/>
      <c r="E8" s="18"/>
      <c r="F8" s="18"/>
      <c r="G8" s="18" t="s">
        <v>13</v>
      </c>
      <c r="H8" s="18"/>
      <c r="I8" s="18"/>
      <c r="J8" s="18"/>
      <c r="K8" s="18" t="str">
        <f>B3&amp;"月"</f>
        <v>9月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95"/>
      <c r="AP8" s="96"/>
      <c r="AQ8" s="96"/>
      <c r="AR8" s="4"/>
      <c r="AS8" s="4"/>
    </row>
    <row r="9" s="1" customFormat="1" ht="27" customHeight="1" spans="1:45">
      <c r="A9" s="19" t="s">
        <v>14</v>
      </c>
      <c r="B9" s="20" t="s">
        <v>42</v>
      </c>
      <c r="C9" s="20" t="s">
        <v>43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53" t="s">
        <v>22</v>
      </c>
      <c r="J9" s="53" t="s">
        <v>23</v>
      </c>
      <c r="K9" s="54" t="str">
        <f>TEXT(K10,"aaa")</f>
        <v>日</v>
      </c>
      <c r="L9" s="54" t="str">
        <f t="shared" ref="L9:AO9" si="1">TEXT(L10,"aaa")</f>
        <v>一</v>
      </c>
      <c r="M9" s="54" t="str">
        <f t="shared" si="1"/>
        <v>二</v>
      </c>
      <c r="N9" s="54" t="str">
        <f t="shared" si="1"/>
        <v>三</v>
      </c>
      <c r="O9" s="54" t="str">
        <f t="shared" si="1"/>
        <v>四</v>
      </c>
      <c r="P9" s="54" t="str">
        <f t="shared" si="1"/>
        <v>五</v>
      </c>
      <c r="Q9" s="54" t="str">
        <f t="shared" si="1"/>
        <v>六</v>
      </c>
      <c r="R9" s="54" t="str">
        <f t="shared" si="1"/>
        <v>日</v>
      </c>
      <c r="S9" s="54" t="str">
        <f t="shared" si="1"/>
        <v>一</v>
      </c>
      <c r="T9" s="54" t="str">
        <f t="shared" si="1"/>
        <v>二</v>
      </c>
      <c r="U9" s="54" t="str">
        <f t="shared" si="1"/>
        <v>三</v>
      </c>
      <c r="V9" s="54" t="str">
        <f t="shared" si="1"/>
        <v>四</v>
      </c>
      <c r="W9" s="54" t="str">
        <f t="shared" si="1"/>
        <v>五</v>
      </c>
      <c r="X9" s="54" t="str">
        <f t="shared" si="1"/>
        <v>六</v>
      </c>
      <c r="Y9" s="54" t="str">
        <f t="shared" si="1"/>
        <v>日</v>
      </c>
      <c r="Z9" s="54" t="str">
        <f t="shared" si="1"/>
        <v>一</v>
      </c>
      <c r="AA9" s="54" t="str">
        <f t="shared" si="1"/>
        <v>二</v>
      </c>
      <c r="AB9" s="54" t="str">
        <f t="shared" si="1"/>
        <v>三</v>
      </c>
      <c r="AC9" s="54" t="str">
        <f t="shared" si="1"/>
        <v>四</v>
      </c>
      <c r="AD9" s="54" t="str">
        <f t="shared" si="1"/>
        <v>五</v>
      </c>
      <c r="AE9" s="54" t="str">
        <f t="shared" si="1"/>
        <v>六</v>
      </c>
      <c r="AF9" s="54" t="str">
        <f t="shared" si="1"/>
        <v>日</v>
      </c>
      <c r="AG9" s="54" t="str">
        <f t="shared" si="1"/>
        <v>一</v>
      </c>
      <c r="AH9" s="54" t="str">
        <f t="shared" si="1"/>
        <v>二</v>
      </c>
      <c r="AI9" s="54" t="str">
        <f t="shared" si="1"/>
        <v>三</v>
      </c>
      <c r="AJ9" s="54" t="str">
        <f t="shared" si="1"/>
        <v>四</v>
      </c>
      <c r="AK9" s="54" t="str">
        <f t="shared" si="1"/>
        <v>五</v>
      </c>
      <c r="AL9" s="54" t="str">
        <f t="shared" si="1"/>
        <v>六</v>
      </c>
      <c r="AM9" s="54" t="str">
        <f t="shared" si="1"/>
        <v>日</v>
      </c>
      <c r="AN9" s="54" t="str">
        <f t="shared" si="1"/>
        <v>一</v>
      </c>
      <c r="AO9" s="66" t="str">
        <f t="shared" si="1"/>
        <v>二</v>
      </c>
      <c r="AP9" s="97"/>
      <c r="AQ9" s="97"/>
      <c r="AR9" s="4"/>
      <c r="AS9" s="4"/>
    </row>
    <row r="10" s="1" customFormat="1" ht="27" customHeight="1" spans="1:44">
      <c r="A10" s="21"/>
      <c r="B10" s="22"/>
      <c r="C10" s="22"/>
      <c r="D10" s="22"/>
      <c r="E10" s="22"/>
      <c r="F10" s="22"/>
      <c r="G10" s="22"/>
      <c r="H10" s="22"/>
      <c r="I10" s="22"/>
      <c r="J10" s="55"/>
      <c r="K10" s="56">
        <f>DATE(B2,B3,1)</f>
        <v>45536</v>
      </c>
      <c r="L10" s="56">
        <f>K10+1</f>
        <v>45537</v>
      </c>
      <c r="M10" s="56">
        <f t="shared" ref="M10:AO10" si="2">L10+1</f>
        <v>45538</v>
      </c>
      <c r="N10" s="56">
        <f t="shared" si="2"/>
        <v>45539</v>
      </c>
      <c r="O10" s="56">
        <f t="shared" si="2"/>
        <v>45540</v>
      </c>
      <c r="P10" s="56">
        <f t="shared" si="2"/>
        <v>45541</v>
      </c>
      <c r="Q10" s="56">
        <f t="shared" si="2"/>
        <v>45542</v>
      </c>
      <c r="R10" s="56">
        <f t="shared" si="2"/>
        <v>45543</v>
      </c>
      <c r="S10" s="56">
        <f t="shared" si="2"/>
        <v>45544</v>
      </c>
      <c r="T10" s="56">
        <f t="shared" si="2"/>
        <v>45545</v>
      </c>
      <c r="U10" s="56">
        <f t="shared" si="2"/>
        <v>45546</v>
      </c>
      <c r="V10" s="56">
        <f t="shared" si="2"/>
        <v>45547</v>
      </c>
      <c r="W10" s="56">
        <f t="shared" si="2"/>
        <v>45548</v>
      </c>
      <c r="X10" s="56">
        <f t="shared" si="2"/>
        <v>45549</v>
      </c>
      <c r="Y10" s="56">
        <f t="shared" si="2"/>
        <v>45550</v>
      </c>
      <c r="Z10" s="56">
        <f t="shared" si="2"/>
        <v>45551</v>
      </c>
      <c r="AA10" s="56">
        <f t="shared" si="2"/>
        <v>45552</v>
      </c>
      <c r="AB10" s="56">
        <f t="shared" si="2"/>
        <v>45553</v>
      </c>
      <c r="AC10" s="56">
        <f t="shared" si="2"/>
        <v>45554</v>
      </c>
      <c r="AD10" s="56">
        <f t="shared" si="2"/>
        <v>45555</v>
      </c>
      <c r="AE10" s="56">
        <f t="shared" si="2"/>
        <v>45556</v>
      </c>
      <c r="AF10" s="56">
        <f t="shared" si="2"/>
        <v>45557</v>
      </c>
      <c r="AG10" s="56">
        <f t="shared" si="2"/>
        <v>45558</v>
      </c>
      <c r="AH10" s="56">
        <f t="shared" si="2"/>
        <v>45559</v>
      </c>
      <c r="AI10" s="56">
        <f t="shared" si="2"/>
        <v>45560</v>
      </c>
      <c r="AJ10" s="56">
        <f t="shared" si="2"/>
        <v>45561</v>
      </c>
      <c r="AK10" s="56">
        <f t="shared" si="2"/>
        <v>45562</v>
      </c>
      <c r="AL10" s="56">
        <f t="shared" si="2"/>
        <v>45563</v>
      </c>
      <c r="AM10" s="56">
        <f t="shared" si="2"/>
        <v>45564</v>
      </c>
      <c r="AN10" s="56">
        <f t="shared" si="2"/>
        <v>45565</v>
      </c>
      <c r="AO10" s="68">
        <f t="shared" si="2"/>
        <v>45566</v>
      </c>
      <c r="AP10" s="8"/>
      <c r="AQ10" s="8"/>
      <c r="AR10" s="8"/>
    </row>
    <row r="11" s="1" customFormat="1" ht="27" customHeight="1" spans="1:44">
      <c r="A11" s="23">
        <v>1</v>
      </c>
      <c r="B11" s="24" t="s">
        <v>44</v>
      </c>
      <c r="C11" s="25" t="s">
        <v>45</v>
      </c>
      <c r="D11" s="94"/>
      <c r="E11" s="94"/>
      <c r="F11" s="25"/>
      <c r="G11" s="25"/>
      <c r="H11" s="25"/>
      <c r="I11" s="25"/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98"/>
      <c r="AP11" s="8"/>
      <c r="AQ11" s="8"/>
      <c r="AR11" s="8"/>
    </row>
    <row r="12" s="1" customFormat="1" ht="27" customHeight="1" spans="1:45">
      <c r="A12" s="26"/>
      <c r="B12" s="27" t="s">
        <v>46</v>
      </c>
      <c r="C12" s="27" t="s">
        <v>24</v>
      </c>
      <c r="D12" s="28">
        <v>45540</v>
      </c>
      <c r="E12" s="29">
        <v>45545</v>
      </c>
      <c r="F12" s="30" t="str">
        <f>E12-D12+1&amp;"天"</f>
        <v>6天</v>
      </c>
      <c r="G12" s="31">
        <v>0.2</v>
      </c>
      <c r="H12" s="32" t="s">
        <v>7</v>
      </c>
      <c r="I12" s="27" t="str">
        <f>IF(H12="已完成",1,"")</f>
        <v/>
      </c>
      <c r="J12" s="27" t="str">
        <f t="shared" ref="J12:J30" si="3">IF(AND($B$4&gt;E12,H12&lt;&gt;"已完成"),1,"")</f>
        <v/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99"/>
      <c r="AP12" s="8"/>
      <c r="AQ12" s="8"/>
      <c r="AR12" s="8"/>
      <c r="AS12" s="100"/>
    </row>
    <row r="13" s="1" customFormat="1" ht="27" customHeight="1" spans="1:44">
      <c r="A13" s="26"/>
      <c r="B13" s="27" t="s">
        <v>46</v>
      </c>
      <c r="C13" s="27" t="s">
        <v>25</v>
      </c>
      <c r="D13" s="28">
        <v>45536</v>
      </c>
      <c r="E13" s="29">
        <v>45540</v>
      </c>
      <c r="F13" s="30" t="str">
        <f t="shared" ref="F13:F30" si="4">E13-D13+1&amp;"天"</f>
        <v>5天</v>
      </c>
      <c r="G13" s="31">
        <v>1</v>
      </c>
      <c r="H13" s="32" t="s">
        <v>9</v>
      </c>
      <c r="I13" s="27">
        <f t="shared" ref="I13:I30" si="5">IF(H13="已完成",1,"")</f>
        <v>1</v>
      </c>
      <c r="J13" s="27" t="str">
        <f t="shared" si="3"/>
        <v/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99"/>
      <c r="AP13" s="8"/>
      <c r="AQ13" s="8"/>
      <c r="AR13" s="8"/>
    </row>
    <row r="14" s="1" customFormat="1" ht="27" customHeight="1" spans="1:44">
      <c r="A14" s="26"/>
      <c r="B14" s="27" t="s">
        <v>46</v>
      </c>
      <c r="C14" s="27" t="s">
        <v>26</v>
      </c>
      <c r="D14" s="28">
        <v>45524</v>
      </c>
      <c r="E14" s="29">
        <v>45538</v>
      </c>
      <c r="F14" s="30" t="str">
        <f t="shared" si="4"/>
        <v>15天</v>
      </c>
      <c r="G14" s="31">
        <v>0.15</v>
      </c>
      <c r="H14" s="32" t="s">
        <v>7</v>
      </c>
      <c r="I14" s="27" t="str">
        <f t="shared" si="5"/>
        <v/>
      </c>
      <c r="J14" s="27">
        <f t="shared" si="3"/>
        <v>1</v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99"/>
      <c r="AP14" s="8"/>
      <c r="AQ14" s="8"/>
      <c r="AR14" s="8"/>
    </row>
    <row r="15" s="1" customFormat="1" ht="27" customHeight="1" spans="1:44">
      <c r="A15" s="33"/>
      <c r="B15" s="34" t="s">
        <v>46</v>
      </c>
      <c r="C15" s="34" t="s">
        <v>27</v>
      </c>
      <c r="D15" s="35">
        <v>45545</v>
      </c>
      <c r="E15" s="36">
        <v>45553</v>
      </c>
      <c r="F15" s="37" t="str">
        <f t="shared" si="4"/>
        <v>9天</v>
      </c>
      <c r="G15" s="38">
        <v>0</v>
      </c>
      <c r="H15" s="39" t="s">
        <v>5</v>
      </c>
      <c r="I15" s="34" t="str">
        <f t="shared" si="5"/>
        <v/>
      </c>
      <c r="J15" s="34" t="str">
        <f t="shared" si="3"/>
        <v/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101"/>
      <c r="AP15" s="8"/>
      <c r="AQ15" s="8"/>
      <c r="AR15" s="8"/>
    </row>
    <row r="16" s="1" customFormat="1" ht="27" customHeight="1" spans="1:44">
      <c r="A16" s="23">
        <v>2</v>
      </c>
      <c r="B16" s="24" t="s">
        <v>44</v>
      </c>
      <c r="C16" s="24" t="s">
        <v>28</v>
      </c>
      <c r="D16" s="40"/>
      <c r="E16" s="41"/>
      <c r="F16" s="42"/>
      <c r="G16" s="43"/>
      <c r="H16" s="4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102"/>
      <c r="AP16" s="8"/>
      <c r="AQ16" s="8"/>
      <c r="AR16" s="8"/>
    </row>
    <row r="17" s="1" customFormat="1" ht="27" customHeight="1" spans="1:44">
      <c r="A17" s="26"/>
      <c r="B17" s="27" t="s">
        <v>46</v>
      </c>
      <c r="C17" s="27" t="s">
        <v>29</v>
      </c>
      <c r="D17" s="28">
        <v>45532</v>
      </c>
      <c r="E17" s="28">
        <v>45549</v>
      </c>
      <c r="F17" s="30" t="str">
        <f t="shared" si="4"/>
        <v>18天</v>
      </c>
      <c r="G17" s="31">
        <v>1</v>
      </c>
      <c r="H17" s="32" t="s">
        <v>9</v>
      </c>
      <c r="I17" s="27">
        <f t="shared" si="5"/>
        <v>1</v>
      </c>
      <c r="J17" s="27" t="str">
        <f t="shared" si="3"/>
        <v/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99"/>
      <c r="AP17" s="8"/>
      <c r="AQ17" s="8"/>
      <c r="AR17" s="8"/>
    </row>
    <row r="18" s="1" customFormat="1" ht="27" customHeight="1" spans="1:44">
      <c r="A18" s="26"/>
      <c r="B18" s="27" t="s">
        <v>46</v>
      </c>
      <c r="C18" s="27" t="s">
        <v>30</v>
      </c>
      <c r="D18" s="28">
        <v>45524</v>
      </c>
      <c r="E18" s="28">
        <v>45538</v>
      </c>
      <c r="F18" s="30" t="str">
        <f t="shared" si="4"/>
        <v>15天</v>
      </c>
      <c r="G18" s="31">
        <v>0.2</v>
      </c>
      <c r="H18" s="32" t="s">
        <v>7</v>
      </c>
      <c r="I18" s="27" t="str">
        <f t="shared" si="5"/>
        <v/>
      </c>
      <c r="J18" s="27">
        <f t="shared" si="3"/>
        <v>1</v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99"/>
      <c r="AP18" s="8"/>
      <c r="AQ18" s="8"/>
      <c r="AR18" s="8"/>
    </row>
    <row r="19" s="1" customFormat="1" ht="27" customHeight="1" spans="1:44">
      <c r="A19" s="26"/>
      <c r="B19" s="27" t="s">
        <v>46</v>
      </c>
      <c r="C19" s="27" t="s">
        <v>31</v>
      </c>
      <c r="D19" s="28">
        <v>45547</v>
      </c>
      <c r="E19" s="28">
        <v>45550</v>
      </c>
      <c r="F19" s="30" t="str">
        <f t="shared" si="4"/>
        <v>4天</v>
      </c>
      <c r="G19" s="31">
        <v>0</v>
      </c>
      <c r="H19" s="32" t="s">
        <v>5</v>
      </c>
      <c r="I19" s="27" t="str">
        <f t="shared" si="5"/>
        <v/>
      </c>
      <c r="J19" s="27" t="str">
        <f t="shared" si="3"/>
        <v/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99"/>
      <c r="AP19" s="8"/>
      <c r="AQ19" s="8"/>
      <c r="AR19" s="8"/>
    </row>
    <row r="20" s="1" customFormat="1" ht="27" customHeight="1" spans="1:44">
      <c r="A20" s="33"/>
      <c r="B20" s="34" t="s">
        <v>46</v>
      </c>
      <c r="C20" s="34" t="s">
        <v>32</v>
      </c>
      <c r="D20" s="35">
        <v>45536</v>
      </c>
      <c r="E20" s="35">
        <v>45538</v>
      </c>
      <c r="F20" s="37" t="str">
        <f t="shared" si="4"/>
        <v>3天</v>
      </c>
      <c r="G20" s="38">
        <v>0.8</v>
      </c>
      <c r="H20" s="39" t="s">
        <v>7</v>
      </c>
      <c r="I20" s="34" t="str">
        <f t="shared" si="5"/>
        <v/>
      </c>
      <c r="J20" s="34">
        <f t="shared" si="3"/>
        <v>1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101"/>
      <c r="AP20" s="8"/>
      <c r="AQ20" s="8"/>
      <c r="AR20" s="8"/>
    </row>
    <row r="21" s="2" customFormat="1" ht="27" customHeight="1" spans="1:44">
      <c r="A21" s="23">
        <v>3</v>
      </c>
      <c r="B21" s="24" t="s">
        <v>44</v>
      </c>
      <c r="C21" s="24" t="s">
        <v>33</v>
      </c>
      <c r="D21" s="40"/>
      <c r="E21" s="40"/>
      <c r="F21" s="42"/>
      <c r="G21" s="43"/>
      <c r="H21" s="4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102"/>
      <c r="AP21" s="103"/>
      <c r="AQ21" s="103"/>
      <c r="AR21" s="103"/>
    </row>
    <row r="22" s="1" customFormat="1" ht="27" customHeight="1" spans="1:44">
      <c r="A22" s="26"/>
      <c r="B22" s="27" t="s">
        <v>46</v>
      </c>
      <c r="C22" s="27" t="s">
        <v>34</v>
      </c>
      <c r="D22" s="28">
        <v>45537</v>
      </c>
      <c r="E22" s="28">
        <v>45545</v>
      </c>
      <c r="F22" s="30" t="str">
        <f t="shared" si="4"/>
        <v>9天</v>
      </c>
      <c r="G22" s="31">
        <v>0.3</v>
      </c>
      <c r="H22" s="32" t="s">
        <v>7</v>
      </c>
      <c r="I22" s="27" t="str">
        <f t="shared" si="5"/>
        <v/>
      </c>
      <c r="J22" s="27" t="str">
        <f t="shared" si="3"/>
        <v/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99"/>
      <c r="AP22" s="8"/>
      <c r="AQ22" s="8"/>
      <c r="AR22" s="8"/>
    </row>
    <row r="23" s="1" customFormat="1" ht="27" customHeight="1" spans="1:44">
      <c r="A23" s="26"/>
      <c r="B23" s="27" t="s">
        <v>46</v>
      </c>
      <c r="C23" s="27" t="s">
        <v>35</v>
      </c>
      <c r="D23" s="28">
        <v>45543</v>
      </c>
      <c r="E23" s="28">
        <v>45560</v>
      </c>
      <c r="F23" s="30" t="str">
        <f t="shared" si="4"/>
        <v>18天</v>
      </c>
      <c r="G23" s="31">
        <v>0.1</v>
      </c>
      <c r="H23" s="32" t="s">
        <v>7</v>
      </c>
      <c r="I23" s="27" t="str">
        <f t="shared" si="5"/>
        <v/>
      </c>
      <c r="J23" s="27" t="str">
        <f t="shared" si="3"/>
        <v/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99"/>
      <c r="AP23" s="8"/>
      <c r="AQ23" s="8"/>
      <c r="AR23" s="8"/>
    </row>
    <row r="24" s="1" customFormat="1" ht="27" customHeight="1" spans="1:44">
      <c r="A24" s="26"/>
      <c r="B24" s="27" t="s">
        <v>46</v>
      </c>
      <c r="C24" s="27" t="s">
        <v>36</v>
      </c>
      <c r="D24" s="28">
        <v>45536</v>
      </c>
      <c r="E24" s="28">
        <v>45555</v>
      </c>
      <c r="F24" s="30" t="str">
        <f t="shared" si="4"/>
        <v>20天</v>
      </c>
      <c r="G24" s="31">
        <v>1</v>
      </c>
      <c r="H24" s="32" t="s">
        <v>9</v>
      </c>
      <c r="I24" s="27">
        <f t="shared" si="5"/>
        <v>1</v>
      </c>
      <c r="J24" s="27" t="str">
        <f t="shared" si="3"/>
        <v/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99"/>
      <c r="AP24" s="8"/>
      <c r="AQ24" s="8"/>
      <c r="AR24" s="8"/>
    </row>
    <row r="25" s="1" customFormat="1" ht="27" customHeight="1" spans="1:44">
      <c r="A25" s="33"/>
      <c r="B25" s="34" t="s">
        <v>46</v>
      </c>
      <c r="C25" s="34" t="s">
        <v>37</v>
      </c>
      <c r="D25" s="35">
        <v>45556</v>
      </c>
      <c r="E25" s="35">
        <v>45565</v>
      </c>
      <c r="F25" s="37" t="str">
        <f t="shared" si="4"/>
        <v>10天</v>
      </c>
      <c r="G25" s="38">
        <v>0</v>
      </c>
      <c r="H25" s="39" t="s">
        <v>5</v>
      </c>
      <c r="I25" s="34" t="str">
        <f t="shared" si="5"/>
        <v/>
      </c>
      <c r="J25" s="34" t="str">
        <f t="shared" si="3"/>
        <v/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101"/>
      <c r="AP25" s="8"/>
      <c r="AQ25" s="8"/>
      <c r="AR25" s="8"/>
    </row>
    <row r="26" s="1" customFormat="1" ht="27" customHeight="1" spans="1:44">
      <c r="A26" s="23">
        <v>4</v>
      </c>
      <c r="B26" s="24" t="s">
        <v>44</v>
      </c>
      <c r="C26" s="24" t="s">
        <v>38</v>
      </c>
      <c r="D26" s="40"/>
      <c r="E26" s="40"/>
      <c r="F26" s="42"/>
      <c r="G26" s="43"/>
      <c r="H26" s="4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102"/>
      <c r="AP26" s="8"/>
      <c r="AQ26" s="8"/>
      <c r="AR26" s="8"/>
    </row>
    <row r="27" s="1" customFormat="1" ht="27" customHeight="1" spans="1:44">
      <c r="A27" s="26"/>
      <c r="B27" s="27" t="s">
        <v>46</v>
      </c>
      <c r="C27" s="27" t="s">
        <v>39</v>
      </c>
      <c r="D27" s="28">
        <v>45532</v>
      </c>
      <c r="E27" s="28">
        <v>45540</v>
      </c>
      <c r="F27" s="30" t="str">
        <f t="shared" si="4"/>
        <v>9天</v>
      </c>
      <c r="G27" s="31">
        <v>1</v>
      </c>
      <c r="H27" s="32" t="s">
        <v>9</v>
      </c>
      <c r="I27" s="27">
        <f t="shared" si="5"/>
        <v>1</v>
      </c>
      <c r="J27" s="27" t="str">
        <f t="shared" si="3"/>
        <v/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99"/>
      <c r="AP27" s="8"/>
      <c r="AQ27" s="8"/>
      <c r="AR27" s="8"/>
    </row>
    <row r="28" s="1" customFormat="1" ht="27" customHeight="1" spans="1:44">
      <c r="A28" s="26"/>
      <c r="B28" s="27" t="s">
        <v>46</v>
      </c>
      <c r="C28" s="27" t="s">
        <v>30</v>
      </c>
      <c r="D28" s="28">
        <v>45539</v>
      </c>
      <c r="E28" s="28">
        <v>45553</v>
      </c>
      <c r="F28" s="30" t="str">
        <f t="shared" si="4"/>
        <v>15天</v>
      </c>
      <c r="G28" s="31">
        <v>0.2</v>
      </c>
      <c r="H28" s="32" t="s">
        <v>7</v>
      </c>
      <c r="I28" s="27" t="str">
        <f t="shared" si="5"/>
        <v/>
      </c>
      <c r="J28" s="27" t="str">
        <f t="shared" si="3"/>
        <v/>
      </c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99"/>
      <c r="AP28" s="8"/>
      <c r="AQ28" s="8"/>
      <c r="AR28" s="8"/>
    </row>
    <row r="29" s="1" customFormat="1" ht="27" customHeight="1" spans="1:44">
      <c r="A29" s="26"/>
      <c r="B29" s="27" t="s">
        <v>46</v>
      </c>
      <c r="C29" s="27" t="s">
        <v>40</v>
      </c>
      <c r="D29" s="28">
        <v>45545</v>
      </c>
      <c r="E29" s="28">
        <v>45555</v>
      </c>
      <c r="F29" s="30" t="str">
        <f t="shared" si="4"/>
        <v>11天</v>
      </c>
      <c r="G29" s="31">
        <v>0</v>
      </c>
      <c r="H29" s="32" t="s">
        <v>5</v>
      </c>
      <c r="I29" s="27" t="str">
        <f t="shared" si="5"/>
        <v/>
      </c>
      <c r="J29" s="27" t="str">
        <f t="shared" si="3"/>
        <v/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99"/>
      <c r="AP29" s="8"/>
      <c r="AQ29" s="8"/>
      <c r="AR29" s="8"/>
    </row>
    <row r="30" s="1" customFormat="1" ht="27" customHeight="1" spans="1:44">
      <c r="A30" s="33"/>
      <c r="B30" s="34" t="s">
        <v>46</v>
      </c>
      <c r="C30" s="34" t="s">
        <v>41</v>
      </c>
      <c r="D30" s="35">
        <v>45553</v>
      </c>
      <c r="E30" s="35">
        <v>45596</v>
      </c>
      <c r="F30" s="37" t="str">
        <f t="shared" si="4"/>
        <v>44天</v>
      </c>
      <c r="G30" s="38">
        <v>0</v>
      </c>
      <c r="H30" s="39" t="s">
        <v>5</v>
      </c>
      <c r="I30" s="34" t="str">
        <f t="shared" si="5"/>
        <v/>
      </c>
      <c r="J30" s="34" t="str">
        <f t="shared" si="3"/>
        <v/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101"/>
      <c r="AP30" s="8"/>
      <c r="AQ30" s="8"/>
      <c r="AR30" s="8"/>
    </row>
    <row r="31" s="3" customFormat="1" ht="25.05" customHeight="1" spans="1:44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</row>
    <row r="32" spans="1:44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</row>
    <row r="34" spans="8:8">
      <c r="H34" s="47"/>
    </row>
  </sheetData>
  <mergeCells count="15">
    <mergeCell ref="M4:O4"/>
    <mergeCell ref="M5:O5"/>
    <mergeCell ref="A8:F8"/>
    <mergeCell ref="G8:J8"/>
    <mergeCell ref="K8:AO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</mergeCells>
  <conditionalFormatting sqref="E3:E5">
    <cfRule type="dataBar" priority="4">
      <dataBar>
        <cfvo type="min"/>
        <cfvo type="max"/>
        <color rgb="FF92DFCB"/>
      </dataBar>
      <extLst>
        <ext xmlns:x14="http://schemas.microsoft.com/office/spreadsheetml/2009/9/main" uri="{B025F937-C7B1-47D3-B67F-A62EFF666E3E}">
          <x14:id>{ef76abe5-395e-485d-b988-d039a921a3ce}</x14:id>
        </ext>
      </extLst>
    </cfRule>
  </conditionalFormatting>
  <conditionalFormatting sqref="G12:G30">
    <cfRule type="dataBar" priority="6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{7caff73f-566d-4a1f-80f1-4d65b3ba6cc6}</x14:id>
        </ext>
      </extLst>
    </cfRule>
  </conditionalFormatting>
  <conditionalFormatting sqref="H12:H30">
    <cfRule type="containsText" dxfId="0" priority="1" operator="between" text="未开始">
      <formula>NOT(ISERROR(SEARCH("未开始",H12)))</formula>
    </cfRule>
    <cfRule type="containsText" dxfId="1" priority="2" operator="between" text="进行中">
      <formula>NOT(ISERROR(SEARCH("进行中",H12)))</formula>
    </cfRule>
    <cfRule type="containsText" dxfId="2" priority="3" operator="between" text="已完成">
      <formula>NOT(ISERROR(SEARCH("已完成",H12)))</formula>
    </cfRule>
  </conditionalFormatting>
  <conditionalFormatting sqref="I12:I30">
    <cfRule type="iconSet" priority="7">
      <iconSet iconSet="3Symbols2" showValue="0">
        <cfvo type="percent" val="0"/>
        <cfvo type="num" val="0"/>
        <cfvo type="num" val="0"/>
      </iconSet>
    </cfRule>
  </conditionalFormatting>
  <conditionalFormatting sqref="K12:AR12 K13:AO30">
    <cfRule type="expression" dxfId="3" priority="8">
      <formula>AND(K$10&gt;=$D12,K$10&lt;=$E12)</formula>
    </cfRule>
  </conditionalFormatting>
  <dataValidations count="1">
    <dataValidation type="list" allowBlank="1" showInputMessage="1" showErrorMessage="1" sqref="H12:H30">
      <formula1>"未开始,进行中,已完成"</formula1>
    </dataValidation>
  </dataValidation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76abe5-395e-485d-b988-d039a921a3ce}">
            <x14:dataBar minLength="0" maxLength="100" border="1" negativeBarBorderColorSameAsPositive="0">
              <x14:cfvo type="autoMin"/>
              <x14:cfvo type="autoMax"/>
              <x14:borderColor rgb="FF92DFCB"/>
              <x14:negativeFillColor rgb="FFFF0000"/>
              <x14:negativeBorderColor rgb="FFFF0000"/>
              <x14:axisColor rgb="FF000000"/>
            </x14:dataBar>
          </x14:cfRule>
          <xm:sqref>E3:E5</xm:sqref>
        </x14:conditionalFormatting>
        <x14:conditionalFormatting xmlns:xm="http://schemas.microsoft.com/office/excel/2006/main">
          <x14:cfRule type="dataBar" id="{7caff73f-566d-4a1f-80f1-4d65b3ba6cc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G12:G30</xm:sqref>
        </x14:conditionalFormatting>
        <x14:conditionalFormatting xmlns:xm="http://schemas.microsoft.com/office/excel/2006/main">
          <x14:cfRule type="iconSet" priority="5" id="{2080a4a9-a274-49a4-abda-f455ac702a52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J12:J30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40"/>
  <sheetViews>
    <sheetView showGridLines="0" tabSelected="1" zoomScale="70" zoomScaleNormal="70" workbookViewId="0">
      <pane xSplit="10" ySplit="10" topLeftCell="K11" activePane="bottomRight" state="frozen"/>
      <selection/>
      <selection pane="topRight"/>
      <selection pane="bottomLeft"/>
      <selection pane="bottomRight" activeCell="I17" sqref="I17"/>
    </sheetView>
  </sheetViews>
  <sheetFormatPr defaultColWidth="8.88333333333333" defaultRowHeight="13"/>
  <cols>
    <col min="1" max="1" width="14.5583333333333" style="4" customWidth="1"/>
    <col min="2" max="2" width="20.775" style="4" customWidth="1"/>
    <col min="3" max="3" width="19" style="4" customWidth="1"/>
    <col min="4" max="5" width="15.1083333333333" style="4" customWidth="1"/>
    <col min="6" max="6" width="19.3916666666667" style="4" customWidth="1"/>
    <col min="7" max="7" width="11.775" style="4" customWidth="1"/>
    <col min="8" max="8" width="10.3333333333333" style="4" customWidth="1"/>
    <col min="9" max="9" width="9.66666666666667" style="4" customWidth="1"/>
    <col min="10" max="10" width="12.5583333333333" style="4" customWidth="1"/>
    <col min="11" max="31" width="4" style="4" hidden="1" customWidth="1"/>
    <col min="32" max="59" width="4" style="4" customWidth="1"/>
    <col min="60" max="16384" width="8.88333333333333" style="4"/>
  </cols>
  <sheetData>
    <row r="1" ht="22.2" customHeight="1"/>
    <row r="2" s="1" customFormat="1" ht="28.05" customHeight="1" spans="1:55">
      <c r="A2" s="5" t="s">
        <v>0</v>
      </c>
      <c r="B2" s="6">
        <v>2025</v>
      </c>
      <c r="D2" s="7" t="s">
        <v>1</v>
      </c>
      <c r="E2" s="7" t="s">
        <v>2</v>
      </c>
      <c r="F2" s="7" t="s">
        <v>3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T2" s="59"/>
      <c r="AU2" s="59"/>
      <c r="AV2" s="59"/>
      <c r="BA2" s="59"/>
      <c r="BB2" s="59"/>
      <c r="BC2" s="59"/>
    </row>
    <row r="3" s="1" customFormat="1" ht="28.05" customHeight="1" spans="1:58">
      <c r="A3" s="5" t="s">
        <v>4</v>
      </c>
      <c r="B3" s="6">
        <v>4</v>
      </c>
      <c r="C3" s="8"/>
      <c r="D3" s="9" t="s">
        <v>5</v>
      </c>
      <c r="E3" s="9">
        <f>COUNTIF($H$11:$H$36,D3)</f>
        <v>1</v>
      </c>
      <c r="F3" s="10">
        <f>E3/$E$6</f>
        <v>0.0384615384615385</v>
      </c>
      <c r="G3" s="8"/>
      <c r="H3" s="11"/>
      <c r="I3" s="11"/>
      <c r="J3" s="8"/>
      <c r="K3" s="8"/>
      <c r="L3" s="8"/>
      <c r="M3" s="8"/>
      <c r="N3" s="8"/>
      <c r="O3" s="8"/>
      <c r="P3" s="8"/>
      <c r="Q3" s="8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8"/>
      <c r="AQ3" s="8"/>
      <c r="AR3" s="8"/>
      <c r="AT3" s="60"/>
      <c r="AU3" s="60"/>
      <c r="AV3" s="60"/>
      <c r="AW3" s="8"/>
      <c r="AX3" s="8"/>
      <c r="AY3" s="8"/>
      <c r="BA3" s="60"/>
      <c r="BB3" s="60"/>
      <c r="BC3" s="60"/>
      <c r="BD3" s="8"/>
      <c r="BE3" s="8"/>
      <c r="BF3" s="8"/>
    </row>
    <row r="4" s="1" customFormat="1" ht="28.05" customHeight="1" spans="1:58">
      <c r="A4" s="5" t="s">
        <v>6</v>
      </c>
      <c r="B4" s="12">
        <v>45792</v>
      </c>
      <c r="C4" s="8"/>
      <c r="D4" s="9" t="s">
        <v>7</v>
      </c>
      <c r="E4" s="9">
        <f>COUNTIF($H$11:$H$36,D4)</f>
        <v>6</v>
      </c>
      <c r="F4" s="10">
        <f t="shared" ref="F4:F5" si="0">E4/$E$6</f>
        <v>0.230769230769231</v>
      </c>
      <c r="G4" s="8"/>
      <c r="I4" s="48" t="str">
        <f>E5&amp;"项"</f>
        <v>19项</v>
      </c>
      <c r="J4" s="49"/>
      <c r="K4" s="8"/>
      <c r="L4" s="8"/>
      <c r="M4" s="50" t="str">
        <f>SUM(J11:J36)&amp;"项"</f>
        <v>0项</v>
      </c>
      <c r="N4" s="50"/>
      <c r="O4" s="50"/>
      <c r="P4" s="8"/>
      <c r="Q4" s="8"/>
      <c r="R4" s="60"/>
      <c r="S4" s="61" t="s">
        <v>8</v>
      </c>
      <c r="T4" s="61">
        <f>E6-T5</f>
        <v>26</v>
      </c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8"/>
      <c r="AQ4" s="8"/>
      <c r="AR4" s="8"/>
      <c r="AT4" s="60"/>
      <c r="AU4" s="60"/>
      <c r="AV4" s="60"/>
      <c r="AW4" s="8"/>
      <c r="AX4" s="8"/>
      <c r="AY4" s="8"/>
      <c r="BA4" s="60"/>
      <c r="BB4" s="60"/>
      <c r="BC4" s="60"/>
      <c r="BD4" s="8"/>
      <c r="BE4" s="8"/>
      <c r="BF4" s="8"/>
    </row>
    <row r="5" s="1" customFormat="1" ht="28.05" customHeight="1" spans="3:58">
      <c r="C5" s="8"/>
      <c r="D5" s="9" t="s">
        <v>9</v>
      </c>
      <c r="E5" s="9">
        <f>COUNTIF($H$11:$H$36,D5)</f>
        <v>19</v>
      </c>
      <c r="F5" s="10">
        <f t="shared" si="0"/>
        <v>0.730769230769231</v>
      </c>
      <c r="G5" s="8"/>
      <c r="I5" s="51">
        <f>F5</f>
        <v>0.730769230769231</v>
      </c>
      <c r="J5" s="8"/>
      <c r="K5" s="8"/>
      <c r="L5" s="8"/>
      <c r="M5" s="52">
        <f>SUM(J11:J36)/E6</f>
        <v>0</v>
      </c>
      <c r="N5" s="52"/>
      <c r="O5" s="52"/>
      <c r="P5" s="8"/>
      <c r="Q5" s="8"/>
      <c r="R5" s="60"/>
      <c r="S5" s="61" t="s">
        <v>10</v>
      </c>
      <c r="T5" s="61">
        <f>SUM(J11:J36)</f>
        <v>0</v>
      </c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8"/>
      <c r="AQ5" s="8"/>
      <c r="AR5" s="8"/>
      <c r="AT5" s="60"/>
      <c r="AU5" s="60"/>
      <c r="AV5" s="60"/>
      <c r="AW5" s="8"/>
      <c r="AX5" s="8"/>
      <c r="AY5" s="8"/>
      <c r="BA5" s="60"/>
      <c r="BB5" s="60"/>
      <c r="BC5" s="60"/>
      <c r="BD5" s="8"/>
      <c r="BE5" s="8"/>
      <c r="BF5" s="8"/>
    </row>
    <row r="6" s="1" customFormat="1" ht="28.05" customHeight="1" spans="1:58">
      <c r="A6" s="8"/>
      <c r="B6" s="13"/>
      <c r="C6" s="8"/>
      <c r="D6" s="14" t="s">
        <v>11</v>
      </c>
      <c r="E6" s="14">
        <f>SUM(E3:E5)</f>
        <v>26</v>
      </c>
      <c r="F6" s="15">
        <f>SUM(F3:F5)</f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3"/>
      <c r="AJ6" s="60"/>
      <c r="AK6" s="60"/>
      <c r="AL6" s="60"/>
      <c r="AM6" s="60"/>
      <c r="AN6" s="60"/>
      <c r="AO6" s="60"/>
      <c r="AP6" s="8"/>
      <c r="AQ6" s="8"/>
      <c r="AR6" s="8"/>
      <c r="AT6" s="60"/>
      <c r="AU6" s="60"/>
      <c r="AV6" s="60"/>
      <c r="AW6" s="8"/>
      <c r="AX6" s="8"/>
      <c r="AY6" s="8"/>
      <c r="BA6" s="60"/>
      <c r="BB6" s="60"/>
      <c r="BC6" s="60"/>
      <c r="BD6" s="8"/>
      <c r="BE6" s="8"/>
      <c r="BF6" s="8"/>
    </row>
    <row r="7" ht="20.4" customHeight="1" spans="1:58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46"/>
      <c r="AQ7" s="46"/>
      <c r="AR7" s="46"/>
      <c r="AT7" s="16"/>
      <c r="AU7" s="16"/>
      <c r="AV7" s="16"/>
      <c r="AW7" s="46"/>
      <c r="AX7" s="46"/>
      <c r="AY7" s="46"/>
      <c r="BA7" s="16"/>
      <c r="BB7" s="16"/>
      <c r="BC7" s="16"/>
      <c r="BD7" s="46"/>
      <c r="BE7" s="46"/>
      <c r="BF7" s="46"/>
    </row>
    <row r="8" s="1" customFormat="1" ht="27" customHeight="1" spans="1:59">
      <c r="A8" s="17" t="s">
        <v>12</v>
      </c>
      <c r="B8" s="18"/>
      <c r="C8" s="18"/>
      <c r="D8" s="18"/>
      <c r="E8" s="18"/>
      <c r="F8" s="18"/>
      <c r="G8" s="18" t="s">
        <v>13</v>
      </c>
      <c r="H8" s="18"/>
      <c r="I8" s="18"/>
      <c r="J8" s="18"/>
      <c r="K8" s="18" t="s">
        <v>47</v>
      </c>
      <c r="L8" s="18"/>
      <c r="M8" s="18"/>
      <c r="N8" s="18"/>
      <c r="O8" s="18"/>
      <c r="P8" s="18"/>
      <c r="Q8" s="18"/>
      <c r="R8" s="18" t="s">
        <v>48</v>
      </c>
      <c r="S8" s="18"/>
      <c r="T8" s="18"/>
      <c r="U8" s="18"/>
      <c r="V8" s="18"/>
      <c r="W8" s="18"/>
      <c r="X8" s="18"/>
      <c r="Y8" s="18" t="s">
        <v>49</v>
      </c>
      <c r="Z8" s="18"/>
      <c r="AA8" s="18"/>
      <c r="AB8" s="18"/>
      <c r="AC8" s="18"/>
      <c r="AD8" s="18"/>
      <c r="AE8" s="18"/>
      <c r="AF8" s="18" t="s">
        <v>50</v>
      </c>
      <c r="AG8" s="18"/>
      <c r="AH8" s="18"/>
      <c r="AI8" s="18"/>
      <c r="AJ8" s="18"/>
      <c r="AK8" s="18"/>
      <c r="AL8" s="18"/>
      <c r="AM8" s="18" t="s">
        <v>51</v>
      </c>
      <c r="AN8" s="18"/>
      <c r="AO8" s="18"/>
      <c r="AP8" s="18"/>
      <c r="AQ8" s="18"/>
      <c r="AR8" s="18"/>
      <c r="AS8" s="64"/>
      <c r="AT8" s="18" t="s">
        <v>52</v>
      </c>
      <c r="AU8" s="18"/>
      <c r="AV8" s="18"/>
      <c r="AW8" s="18"/>
      <c r="AX8" s="18"/>
      <c r="AY8" s="18"/>
      <c r="AZ8" s="64"/>
      <c r="BA8" s="18" t="s">
        <v>53</v>
      </c>
      <c r="BB8" s="18"/>
      <c r="BC8" s="18"/>
      <c r="BD8" s="18"/>
      <c r="BE8" s="18"/>
      <c r="BF8" s="18"/>
      <c r="BG8" s="64"/>
    </row>
    <row r="9" s="1" customFormat="1" ht="27" customHeight="1" spans="1:59">
      <c r="A9" s="19" t="s">
        <v>14</v>
      </c>
      <c r="B9" s="20" t="s">
        <v>54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53" t="s">
        <v>22</v>
      </c>
      <c r="J9" s="53" t="s">
        <v>23</v>
      </c>
      <c r="K9" s="54" t="str">
        <f>TEXT(K10,"aaa")</f>
        <v>二</v>
      </c>
      <c r="L9" s="54" t="str">
        <f t="shared" ref="L9:BG9" si="1">TEXT(L10,"aaa")</f>
        <v>三</v>
      </c>
      <c r="M9" s="54" t="str">
        <f t="shared" si="1"/>
        <v>四</v>
      </c>
      <c r="N9" s="54" t="str">
        <f t="shared" si="1"/>
        <v>五</v>
      </c>
      <c r="O9" s="54" t="str">
        <f t="shared" si="1"/>
        <v>六</v>
      </c>
      <c r="P9" s="54" t="str">
        <f t="shared" si="1"/>
        <v>日</v>
      </c>
      <c r="Q9" s="54" t="str">
        <f t="shared" si="1"/>
        <v>一</v>
      </c>
      <c r="R9" s="54" t="str">
        <f t="shared" si="1"/>
        <v>二</v>
      </c>
      <c r="S9" s="54" t="str">
        <f t="shared" si="1"/>
        <v>三</v>
      </c>
      <c r="T9" s="54" t="str">
        <f t="shared" si="1"/>
        <v>四</v>
      </c>
      <c r="U9" s="54" t="str">
        <f t="shared" si="1"/>
        <v>五</v>
      </c>
      <c r="V9" s="54" t="str">
        <f t="shared" si="1"/>
        <v>六</v>
      </c>
      <c r="W9" s="54" t="str">
        <f t="shared" si="1"/>
        <v>日</v>
      </c>
      <c r="X9" s="54" t="str">
        <f t="shared" si="1"/>
        <v>一</v>
      </c>
      <c r="Y9" s="54" t="str">
        <f t="shared" si="1"/>
        <v>二</v>
      </c>
      <c r="Z9" s="54" t="str">
        <f t="shared" si="1"/>
        <v>三</v>
      </c>
      <c r="AA9" s="54" t="str">
        <f t="shared" si="1"/>
        <v>四</v>
      </c>
      <c r="AB9" s="54" t="str">
        <f t="shared" si="1"/>
        <v>五</v>
      </c>
      <c r="AC9" s="54" t="str">
        <f t="shared" si="1"/>
        <v>六</v>
      </c>
      <c r="AD9" s="54" t="str">
        <f t="shared" si="1"/>
        <v>日</v>
      </c>
      <c r="AE9" s="54" t="str">
        <f t="shared" si="1"/>
        <v>一</v>
      </c>
      <c r="AF9" s="54" t="str">
        <f t="shared" si="1"/>
        <v>二</v>
      </c>
      <c r="AG9" s="54" t="str">
        <f t="shared" si="1"/>
        <v>三</v>
      </c>
      <c r="AH9" s="54" t="str">
        <f t="shared" si="1"/>
        <v>四</v>
      </c>
      <c r="AI9" s="54" t="str">
        <f t="shared" si="1"/>
        <v>五</v>
      </c>
      <c r="AJ9" s="54" t="str">
        <f t="shared" si="1"/>
        <v>六</v>
      </c>
      <c r="AK9" s="54" t="str">
        <f t="shared" si="1"/>
        <v>日</v>
      </c>
      <c r="AL9" s="54" t="str">
        <f t="shared" si="1"/>
        <v>一</v>
      </c>
      <c r="AM9" s="54" t="str">
        <f t="shared" si="1"/>
        <v>二</v>
      </c>
      <c r="AN9" s="54" t="str">
        <f t="shared" si="1"/>
        <v>三</v>
      </c>
      <c r="AO9" s="65" t="str">
        <f t="shared" si="1"/>
        <v>四</v>
      </c>
      <c r="AP9" s="65" t="str">
        <f t="shared" si="1"/>
        <v>五</v>
      </c>
      <c r="AQ9" s="65" t="str">
        <f t="shared" si="1"/>
        <v>六</v>
      </c>
      <c r="AR9" s="65" t="str">
        <f t="shared" si="1"/>
        <v>日</v>
      </c>
      <c r="AS9" s="66" t="str">
        <f t="shared" si="1"/>
        <v>一</v>
      </c>
      <c r="AT9" s="54" t="str">
        <f t="shared" si="1"/>
        <v>二</v>
      </c>
      <c r="AU9" s="54" t="str">
        <f t="shared" si="1"/>
        <v>三</v>
      </c>
      <c r="AV9" s="65" t="str">
        <f t="shared" si="1"/>
        <v>四</v>
      </c>
      <c r="AW9" s="65" t="str">
        <f t="shared" si="1"/>
        <v>五</v>
      </c>
      <c r="AX9" s="65" t="str">
        <f t="shared" si="1"/>
        <v>六</v>
      </c>
      <c r="AY9" s="65" t="str">
        <f t="shared" si="1"/>
        <v>日</v>
      </c>
      <c r="AZ9" s="66" t="str">
        <f t="shared" si="1"/>
        <v>一</v>
      </c>
      <c r="BA9" s="54" t="str">
        <f t="shared" si="1"/>
        <v>二</v>
      </c>
      <c r="BB9" s="54" t="str">
        <f t="shared" si="1"/>
        <v>三</v>
      </c>
      <c r="BC9" s="65" t="str">
        <f t="shared" si="1"/>
        <v>四</v>
      </c>
      <c r="BD9" s="65" t="str">
        <f t="shared" si="1"/>
        <v>五</v>
      </c>
      <c r="BE9" s="65" t="str">
        <f t="shared" si="1"/>
        <v>六</v>
      </c>
      <c r="BF9" s="65" t="str">
        <f t="shared" si="1"/>
        <v>日</v>
      </c>
      <c r="BG9" s="66" t="str">
        <f t="shared" si="1"/>
        <v>一</v>
      </c>
    </row>
    <row r="10" s="1" customFormat="1" ht="27" customHeight="1" spans="1:59">
      <c r="A10" s="21"/>
      <c r="B10" s="22"/>
      <c r="C10" s="22"/>
      <c r="D10" s="22"/>
      <c r="E10" s="22"/>
      <c r="F10" s="22"/>
      <c r="G10" s="22"/>
      <c r="H10" s="22"/>
      <c r="I10" s="22"/>
      <c r="J10" s="55"/>
      <c r="K10" s="56">
        <f>DATE(B2,B3,1)</f>
        <v>45748</v>
      </c>
      <c r="L10" s="56">
        <f>K10+1</f>
        <v>45749</v>
      </c>
      <c r="M10" s="56">
        <f t="shared" ref="M10:AO10" si="2">L10+1</f>
        <v>45750</v>
      </c>
      <c r="N10" s="56">
        <f t="shared" si="2"/>
        <v>45751</v>
      </c>
      <c r="O10" s="56">
        <f t="shared" si="2"/>
        <v>45752</v>
      </c>
      <c r="P10" s="56">
        <f t="shared" si="2"/>
        <v>45753</v>
      </c>
      <c r="Q10" s="56">
        <f t="shared" si="2"/>
        <v>45754</v>
      </c>
      <c r="R10" s="56">
        <f t="shared" si="2"/>
        <v>45755</v>
      </c>
      <c r="S10" s="56">
        <f t="shared" si="2"/>
        <v>45756</v>
      </c>
      <c r="T10" s="56">
        <f t="shared" si="2"/>
        <v>45757</v>
      </c>
      <c r="U10" s="56">
        <f t="shared" si="2"/>
        <v>45758</v>
      </c>
      <c r="V10" s="56">
        <f t="shared" si="2"/>
        <v>45759</v>
      </c>
      <c r="W10" s="56">
        <f t="shared" si="2"/>
        <v>45760</v>
      </c>
      <c r="X10" s="56">
        <f t="shared" si="2"/>
        <v>45761</v>
      </c>
      <c r="Y10" s="56">
        <f t="shared" si="2"/>
        <v>45762</v>
      </c>
      <c r="Z10" s="56">
        <f t="shared" si="2"/>
        <v>45763</v>
      </c>
      <c r="AA10" s="56">
        <f t="shared" si="2"/>
        <v>45764</v>
      </c>
      <c r="AB10" s="56">
        <f t="shared" si="2"/>
        <v>45765</v>
      </c>
      <c r="AC10" s="56">
        <f t="shared" si="2"/>
        <v>45766</v>
      </c>
      <c r="AD10" s="56">
        <f t="shared" si="2"/>
        <v>45767</v>
      </c>
      <c r="AE10" s="56">
        <f t="shared" si="2"/>
        <v>45768</v>
      </c>
      <c r="AF10" s="56">
        <f t="shared" si="2"/>
        <v>45769</v>
      </c>
      <c r="AG10" s="56">
        <f t="shared" si="2"/>
        <v>45770</v>
      </c>
      <c r="AH10" s="56">
        <f t="shared" si="2"/>
        <v>45771</v>
      </c>
      <c r="AI10" s="56">
        <f t="shared" si="2"/>
        <v>45772</v>
      </c>
      <c r="AJ10" s="56">
        <f t="shared" si="2"/>
        <v>45773</v>
      </c>
      <c r="AK10" s="56">
        <f t="shared" si="2"/>
        <v>45774</v>
      </c>
      <c r="AL10" s="56">
        <f t="shared" si="2"/>
        <v>45775</v>
      </c>
      <c r="AM10" s="56">
        <f t="shared" si="2"/>
        <v>45776</v>
      </c>
      <c r="AN10" s="56">
        <f t="shared" si="2"/>
        <v>45777</v>
      </c>
      <c r="AO10" s="67">
        <f t="shared" si="2"/>
        <v>45778</v>
      </c>
      <c r="AP10" s="67">
        <f t="shared" ref="AP10" si="3">AO10+1</f>
        <v>45779</v>
      </c>
      <c r="AQ10" s="67">
        <f t="shared" ref="AQ10" si="4">AP10+1</f>
        <v>45780</v>
      </c>
      <c r="AR10" s="67">
        <f t="shared" ref="AR10" si="5">AQ10+1</f>
        <v>45781</v>
      </c>
      <c r="AS10" s="68">
        <f t="shared" ref="AS10:BG10" si="6">AR10+1</f>
        <v>45782</v>
      </c>
      <c r="AT10" s="56">
        <f t="shared" si="6"/>
        <v>45783</v>
      </c>
      <c r="AU10" s="56">
        <f t="shared" si="6"/>
        <v>45784</v>
      </c>
      <c r="AV10" s="67">
        <f t="shared" si="6"/>
        <v>45785</v>
      </c>
      <c r="AW10" s="67">
        <f t="shared" si="6"/>
        <v>45786</v>
      </c>
      <c r="AX10" s="67">
        <f t="shared" si="6"/>
        <v>45787</v>
      </c>
      <c r="AY10" s="67">
        <f t="shared" si="6"/>
        <v>45788</v>
      </c>
      <c r="AZ10" s="68">
        <f t="shared" si="6"/>
        <v>45789</v>
      </c>
      <c r="BA10" s="56">
        <f t="shared" si="6"/>
        <v>45790</v>
      </c>
      <c r="BB10" s="56">
        <f t="shared" si="6"/>
        <v>45791</v>
      </c>
      <c r="BC10" s="67">
        <f t="shared" si="6"/>
        <v>45792</v>
      </c>
      <c r="BD10" s="67">
        <f t="shared" si="6"/>
        <v>45793</v>
      </c>
      <c r="BE10" s="67">
        <f t="shared" si="6"/>
        <v>45794</v>
      </c>
      <c r="BF10" s="67">
        <f t="shared" si="6"/>
        <v>45795</v>
      </c>
      <c r="BG10" s="68">
        <f t="shared" si="6"/>
        <v>45796</v>
      </c>
    </row>
    <row r="11" s="1" customFormat="1" ht="27" customHeight="1" spans="1:59">
      <c r="A11" s="79">
        <v>1</v>
      </c>
      <c r="B11" s="80" t="s">
        <v>55</v>
      </c>
      <c r="C11" s="80" t="s">
        <v>56</v>
      </c>
      <c r="D11" s="81">
        <v>45783</v>
      </c>
      <c r="E11" s="82">
        <v>45794</v>
      </c>
      <c r="F11" s="83" t="str">
        <f t="shared" ref="F11:F17" si="7">E11-D11+1&amp;"天"</f>
        <v>12天</v>
      </c>
      <c r="G11" s="84">
        <v>0</v>
      </c>
      <c r="H11" s="85" t="s">
        <v>7</v>
      </c>
      <c r="I11" s="27" t="str">
        <f t="shared" ref="I11:I17" si="8">IF(H11="已完成",1,"")</f>
        <v/>
      </c>
      <c r="J11" s="80" t="str">
        <f>IF(AND($B$4&gt;E11,H11&lt;&gt;"已完成"),1,"")</f>
        <v/>
      </c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9"/>
      <c r="AP11" s="89"/>
      <c r="AQ11" s="89"/>
      <c r="AR11" s="89"/>
      <c r="AS11" s="90"/>
      <c r="AT11" s="80"/>
      <c r="AU11" s="80"/>
      <c r="AV11" s="89"/>
      <c r="AW11" s="89"/>
      <c r="AX11" s="89"/>
      <c r="AY11" s="89"/>
      <c r="AZ11" s="90"/>
      <c r="BA11" s="80"/>
      <c r="BB11" s="80"/>
      <c r="BC11" s="89"/>
      <c r="BD11" s="89"/>
      <c r="BE11" s="89"/>
      <c r="BF11" s="89"/>
      <c r="BG11" s="90"/>
    </row>
    <row r="12" s="1" customFormat="1" ht="27" customHeight="1" spans="1:59">
      <c r="A12" s="26"/>
      <c r="B12" s="27"/>
      <c r="C12" s="80" t="s">
        <v>57</v>
      </c>
      <c r="D12" s="81">
        <v>45783</v>
      </c>
      <c r="E12" s="82">
        <v>45794</v>
      </c>
      <c r="F12" s="30" t="str">
        <f t="shared" si="7"/>
        <v>12天</v>
      </c>
      <c r="G12" s="86">
        <v>0</v>
      </c>
      <c r="H12" s="32" t="s">
        <v>9</v>
      </c>
      <c r="I12" s="27">
        <f t="shared" si="8"/>
        <v>1</v>
      </c>
      <c r="J12" s="27" t="str">
        <f>IF(AND($B$4&gt;E12,H12&lt;&gt;"已完成"),1,"")</f>
        <v/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72"/>
      <c r="AP12" s="72"/>
      <c r="AQ12" s="72"/>
      <c r="AR12" s="72"/>
      <c r="AS12" s="74"/>
      <c r="AT12" s="27"/>
      <c r="AU12" s="27"/>
      <c r="AV12" s="72"/>
      <c r="AW12" s="72"/>
      <c r="AX12" s="72"/>
      <c r="AY12" s="72"/>
      <c r="AZ12" s="74"/>
      <c r="BA12" s="27"/>
      <c r="BB12" s="27"/>
      <c r="BC12" s="72"/>
      <c r="BD12" s="72"/>
      <c r="BE12" s="72"/>
      <c r="BF12" s="72"/>
      <c r="BG12" s="74"/>
    </row>
    <row r="13" s="1" customFormat="1" ht="27" customHeight="1" spans="1:59">
      <c r="A13" s="26"/>
      <c r="B13" s="27"/>
      <c r="C13" s="27" t="s">
        <v>58</v>
      </c>
      <c r="D13" s="28">
        <v>45772</v>
      </c>
      <c r="E13" s="29">
        <v>45788</v>
      </c>
      <c r="F13" s="30" t="str">
        <f t="shared" si="7"/>
        <v>17天</v>
      </c>
      <c r="G13" s="86">
        <v>0.1</v>
      </c>
      <c r="H13" s="32" t="s">
        <v>9</v>
      </c>
      <c r="I13" s="27">
        <f t="shared" ref="I12:I16" si="9">IF(H13="已完成",1,"")</f>
        <v>1</v>
      </c>
      <c r="J13" s="27" t="str">
        <f>IF(AND($B$4&gt;E13,H13&lt;&gt;"已完成"),1,"")</f>
        <v/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72"/>
      <c r="AP13" s="72"/>
      <c r="AQ13" s="72"/>
      <c r="AR13" s="72"/>
      <c r="AS13" s="74"/>
      <c r="AT13" s="27"/>
      <c r="AU13" s="27"/>
      <c r="AV13" s="72"/>
      <c r="AW13" s="72"/>
      <c r="AX13" s="72"/>
      <c r="AY13" s="72"/>
      <c r="AZ13" s="74"/>
      <c r="BA13" s="27"/>
      <c r="BB13" s="27"/>
      <c r="BC13" s="72"/>
      <c r="BD13" s="72"/>
      <c r="BE13" s="72"/>
      <c r="BF13" s="72"/>
      <c r="BG13" s="74"/>
    </row>
    <row r="14" s="1" customFormat="1" ht="27" customHeight="1" spans="1:59">
      <c r="A14" s="33"/>
      <c r="B14" s="34"/>
      <c r="C14" s="27" t="s">
        <v>59</v>
      </c>
      <c r="D14" s="35">
        <v>45775</v>
      </c>
      <c r="E14" s="36">
        <v>45797</v>
      </c>
      <c r="F14" s="37" t="str">
        <f t="shared" si="7"/>
        <v>23天</v>
      </c>
      <c r="G14" s="38">
        <v>0</v>
      </c>
      <c r="H14" s="39" t="s">
        <v>7</v>
      </c>
      <c r="I14" s="34" t="str">
        <f t="shared" si="9"/>
        <v/>
      </c>
      <c r="J14" s="34" t="str">
        <f>IF(AND($B$4&gt;E14,H14&lt;&gt;"已完成"),1,"")</f>
        <v/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75"/>
      <c r="AP14" s="75"/>
      <c r="AQ14" s="75"/>
      <c r="AR14" s="75"/>
      <c r="AS14" s="76"/>
      <c r="AT14" s="34"/>
      <c r="AU14" s="34"/>
      <c r="AV14" s="75"/>
      <c r="AW14" s="75"/>
      <c r="AX14" s="75"/>
      <c r="AY14" s="75"/>
      <c r="AZ14" s="76"/>
      <c r="BA14" s="34"/>
      <c r="BB14" s="34"/>
      <c r="BC14" s="75"/>
      <c r="BD14" s="75"/>
      <c r="BE14" s="75"/>
      <c r="BF14" s="75"/>
      <c r="BG14" s="76"/>
    </row>
    <row r="15" s="1" customFormat="1" ht="27" customHeight="1" spans="1:59">
      <c r="A15" s="79">
        <v>2</v>
      </c>
      <c r="B15" s="80" t="s">
        <v>60</v>
      </c>
      <c r="C15" s="80" t="s">
        <v>61</v>
      </c>
      <c r="D15" s="81">
        <v>45775</v>
      </c>
      <c r="E15" s="81">
        <v>45788</v>
      </c>
      <c r="F15" s="83" t="str">
        <f t="shared" si="7"/>
        <v>14天</v>
      </c>
      <c r="G15" s="84">
        <v>0</v>
      </c>
      <c r="H15" s="85" t="s">
        <v>9</v>
      </c>
      <c r="I15" s="80"/>
      <c r="J15" s="80" t="str">
        <f>IF(AND($B$4&gt;E15,H15&lt;&gt;"已完成"),1,"")</f>
        <v/>
      </c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9"/>
      <c r="AP15" s="89"/>
      <c r="AQ15" s="89"/>
      <c r="AR15" s="89"/>
      <c r="AS15" s="91"/>
      <c r="AT15" s="80"/>
      <c r="AU15" s="80"/>
      <c r="AV15" s="89"/>
      <c r="AW15" s="89"/>
      <c r="AX15" s="89"/>
      <c r="AY15" s="89"/>
      <c r="AZ15" s="91"/>
      <c r="BA15" s="80"/>
      <c r="BB15" s="80"/>
      <c r="BC15" s="89"/>
      <c r="BD15" s="89"/>
      <c r="BE15" s="89"/>
      <c r="BF15" s="89"/>
      <c r="BG15" s="91"/>
    </row>
    <row r="16" s="1" customFormat="1" ht="27" customHeight="1" spans="1:59">
      <c r="A16" s="79">
        <v>2</v>
      </c>
      <c r="B16" s="80" t="s">
        <v>60</v>
      </c>
      <c r="C16" s="80" t="s">
        <v>62</v>
      </c>
      <c r="D16" s="81">
        <v>45775</v>
      </c>
      <c r="E16" s="81">
        <v>45795</v>
      </c>
      <c r="F16" s="83" t="str">
        <f t="shared" si="7"/>
        <v>21天</v>
      </c>
      <c r="G16" s="84">
        <v>0</v>
      </c>
      <c r="H16" s="85" t="s">
        <v>9</v>
      </c>
      <c r="I16" s="27">
        <f t="shared" si="8"/>
        <v>1</v>
      </c>
      <c r="J16" s="80" t="str">
        <f>IF(AND($B$4&gt;E16,H16&lt;&gt;"已完成"),1,"")</f>
        <v/>
      </c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9"/>
      <c r="AP16" s="89"/>
      <c r="AQ16" s="89"/>
      <c r="AR16" s="89"/>
      <c r="AS16" s="91"/>
      <c r="AT16" s="80"/>
      <c r="AU16" s="80"/>
      <c r="AV16" s="89"/>
      <c r="AW16" s="89"/>
      <c r="AX16" s="89"/>
      <c r="AY16" s="89"/>
      <c r="AZ16" s="91"/>
      <c r="BA16" s="80"/>
      <c r="BB16" s="80"/>
      <c r="BC16" s="89"/>
      <c r="BD16" s="89"/>
      <c r="BE16" s="89"/>
      <c r="BF16" s="89"/>
      <c r="BG16" s="91"/>
    </row>
    <row r="17" s="1" customFormat="1" ht="27" customHeight="1" spans="1:59">
      <c r="A17" s="26"/>
      <c r="B17" s="27"/>
      <c r="C17" s="27" t="s">
        <v>63</v>
      </c>
      <c r="D17" s="28">
        <v>45783</v>
      </c>
      <c r="E17" s="28">
        <v>45795</v>
      </c>
      <c r="F17" s="30" t="str">
        <f t="shared" si="7"/>
        <v>13天</v>
      </c>
      <c r="G17" s="86">
        <v>0</v>
      </c>
      <c r="H17" s="32" t="s">
        <v>7</v>
      </c>
      <c r="I17" s="27" t="str">
        <f t="shared" si="8"/>
        <v/>
      </c>
      <c r="J17" s="27" t="str">
        <f>IF(AND($B$4&gt;E17,H17&lt;&gt;"已完成"),1,"")</f>
        <v/>
      </c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72"/>
      <c r="AP17" s="72"/>
      <c r="AQ17" s="72"/>
      <c r="AR17" s="72"/>
      <c r="AS17" s="74"/>
      <c r="AT17" s="27"/>
      <c r="AU17" s="27"/>
      <c r="AV17" s="72"/>
      <c r="AW17" s="72"/>
      <c r="AX17" s="72"/>
      <c r="AY17" s="72"/>
      <c r="AZ17" s="74"/>
      <c r="BA17" s="27"/>
      <c r="BB17" s="27"/>
      <c r="BC17" s="72"/>
      <c r="BD17" s="72"/>
      <c r="BE17" s="72"/>
      <c r="BF17" s="72"/>
      <c r="BG17" s="74"/>
    </row>
    <row r="18" s="1" customFormat="1" ht="27" customHeight="1" spans="1:59">
      <c r="A18" s="26"/>
      <c r="B18" s="27"/>
      <c r="C18" s="27" t="s">
        <v>64</v>
      </c>
      <c r="D18" s="28">
        <v>45775</v>
      </c>
      <c r="E18" s="28">
        <v>45783</v>
      </c>
      <c r="F18" s="30" t="str">
        <f t="shared" ref="F18:F36" si="10">E18-D18+1&amp;"天"</f>
        <v>9天</v>
      </c>
      <c r="G18" s="86">
        <v>0</v>
      </c>
      <c r="H18" s="32" t="s">
        <v>9</v>
      </c>
      <c r="I18" s="27">
        <f t="shared" ref="I18:I36" si="11">IF(H18="已完成",1,"")</f>
        <v>1</v>
      </c>
      <c r="J18" s="27" t="str">
        <f t="shared" ref="J18:J36" si="12">IF(AND($B$4&gt;E18,H18&lt;&gt;"已完成"),1,"")</f>
        <v/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72"/>
      <c r="AP18" s="72"/>
      <c r="AQ18" s="72"/>
      <c r="AR18" s="72"/>
      <c r="AS18" s="74"/>
      <c r="AT18" s="27"/>
      <c r="AU18" s="27"/>
      <c r="AV18" s="72"/>
      <c r="AW18" s="72"/>
      <c r="AX18" s="72"/>
      <c r="AY18" s="72"/>
      <c r="AZ18" s="74"/>
      <c r="BA18" s="27"/>
      <c r="BB18" s="27"/>
      <c r="BC18" s="72"/>
      <c r="BD18" s="72"/>
      <c r="BE18" s="72"/>
      <c r="BF18" s="72"/>
      <c r="BG18" s="74"/>
    </row>
    <row r="19" s="1" customFormat="1" ht="27" customHeight="1" spans="1:59">
      <c r="A19" s="26"/>
      <c r="B19" s="27"/>
      <c r="C19" s="27" t="s">
        <v>65</v>
      </c>
      <c r="D19" s="28">
        <v>45783</v>
      </c>
      <c r="E19" s="28">
        <v>45795</v>
      </c>
      <c r="F19" s="30" t="str">
        <f t="shared" si="10"/>
        <v>13天</v>
      </c>
      <c r="G19" s="31">
        <v>0</v>
      </c>
      <c r="H19" s="32" t="s">
        <v>9</v>
      </c>
      <c r="I19" s="27">
        <f t="shared" si="11"/>
        <v>1</v>
      </c>
      <c r="J19" s="27" t="str">
        <f t="shared" si="12"/>
        <v/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72"/>
      <c r="AP19" s="72"/>
      <c r="AQ19" s="72"/>
      <c r="AR19" s="72"/>
      <c r="AS19" s="74"/>
      <c r="AT19" s="27"/>
      <c r="AU19" s="27"/>
      <c r="AV19" s="72"/>
      <c r="AW19" s="72"/>
      <c r="AX19" s="72"/>
      <c r="AY19" s="72"/>
      <c r="AZ19" s="74"/>
      <c r="BA19" s="27"/>
      <c r="BB19" s="27"/>
      <c r="BC19" s="72"/>
      <c r="BD19" s="72"/>
      <c r="BE19" s="72"/>
      <c r="BF19" s="72"/>
      <c r="BG19" s="74"/>
    </row>
    <row r="20" s="1" customFormat="1" ht="27" customHeight="1" spans="1:59">
      <c r="A20" s="33"/>
      <c r="B20" s="34"/>
      <c r="C20" s="34" t="s">
        <v>66</v>
      </c>
      <c r="D20" s="35">
        <v>45783</v>
      </c>
      <c r="E20" s="35">
        <v>45795</v>
      </c>
      <c r="F20" s="37" t="str">
        <f t="shared" si="10"/>
        <v>13天</v>
      </c>
      <c r="G20" s="87">
        <v>0</v>
      </c>
      <c r="H20" s="39" t="s">
        <v>9</v>
      </c>
      <c r="I20" s="34">
        <f t="shared" si="11"/>
        <v>1</v>
      </c>
      <c r="J20" s="34" t="str">
        <f t="shared" si="12"/>
        <v/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75"/>
      <c r="AP20" s="75"/>
      <c r="AQ20" s="75"/>
      <c r="AR20" s="75"/>
      <c r="AS20" s="76"/>
      <c r="AT20" s="34"/>
      <c r="AU20" s="34"/>
      <c r="AV20" s="75"/>
      <c r="AW20" s="75"/>
      <c r="AX20" s="75"/>
      <c r="AY20" s="75"/>
      <c r="AZ20" s="76"/>
      <c r="BA20" s="34"/>
      <c r="BB20" s="34"/>
      <c r="BC20" s="75"/>
      <c r="BD20" s="75"/>
      <c r="BE20" s="75"/>
      <c r="BF20" s="75"/>
      <c r="BG20" s="76"/>
    </row>
    <row r="21" s="1" customFormat="1" ht="27" customHeight="1" spans="1:59">
      <c r="A21" s="79">
        <v>3</v>
      </c>
      <c r="B21" s="80" t="s">
        <v>67</v>
      </c>
      <c r="C21" s="80" t="s">
        <v>68</v>
      </c>
      <c r="D21" s="81">
        <v>45772</v>
      </c>
      <c r="E21" s="81">
        <v>45774</v>
      </c>
      <c r="F21" s="83" t="str">
        <f t="shared" si="10"/>
        <v>3天</v>
      </c>
      <c r="G21" s="88">
        <v>1</v>
      </c>
      <c r="H21" s="85" t="s">
        <v>9</v>
      </c>
      <c r="I21" s="80">
        <f t="shared" si="11"/>
        <v>1</v>
      </c>
      <c r="J21" s="80" t="str">
        <f t="shared" si="12"/>
        <v/>
      </c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9"/>
      <c r="AP21" s="89"/>
      <c r="AQ21" s="89"/>
      <c r="AR21" s="89"/>
      <c r="AS21" s="91"/>
      <c r="AT21" s="80"/>
      <c r="AU21" s="80"/>
      <c r="AV21" s="89"/>
      <c r="AW21" s="89"/>
      <c r="AX21" s="89"/>
      <c r="AY21" s="89"/>
      <c r="AZ21" s="91"/>
      <c r="BA21" s="80"/>
      <c r="BB21" s="80"/>
      <c r="BC21" s="89"/>
      <c r="BD21" s="89"/>
      <c r="BE21" s="89"/>
      <c r="BF21" s="89"/>
      <c r="BG21" s="91"/>
    </row>
    <row r="22" s="1" customFormat="1" ht="27" customHeight="1" spans="1:59">
      <c r="A22" s="26"/>
      <c r="B22" s="27"/>
      <c r="C22" s="27" t="s">
        <v>69</v>
      </c>
      <c r="D22" s="28">
        <v>45775</v>
      </c>
      <c r="E22" s="28">
        <v>45783</v>
      </c>
      <c r="F22" s="30" t="str">
        <f t="shared" si="10"/>
        <v>9天</v>
      </c>
      <c r="G22" s="86">
        <v>0</v>
      </c>
      <c r="H22" s="32" t="s">
        <v>9</v>
      </c>
      <c r="I22" s="27">
        <f t="shared" si="11"/>
        <v>1</v>
      </c>
      <c r="J22" s="27" t="str">
        <f t="shared" si="12"/>
        <v/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72"/>
      <c r="AP22" s="72"/>
      <c r="AQ22" s="72"/>
      <c r="AR22" s="72"/>
      <c r="AS22" s="74"/>
      <c r="AT22" s="27"/>
      <c r="AU22" s="27"/>
      <c r="AV22" s="72"/>
      <c r="AW22" s="72"/>
      <c r="AX22" s="72"/>
      <c r="AY22" s="72"/>
      <c r="AZ22" s="74"/>
      <c r="BA22" s="27"/>
      <c r="BB22" s="27"/>
      <c r="BC22" s="72"/>
      <c r="BD22" s="72"/>
      <c r="BE22" s="72"/>
      <c r="BF22" s="72"/>
      <c r="BG22" s="74"/>
    </row>
    <row r="23" s="1" customFormat="1" ht="27" customHeight="1" spans="1:59">
      <c r="A23" s="26"/>
      <c r="B23" s="27"/>
      <c r="C23" s="27"/>
      <c r="D23" s="28"/>
      <c r="E23" s="28"/>
      <c r="F23" s="30" t="str">
        <f t="shared" si="10"/>
        <v>1天</v>
      </c>
      <c r="G23" s="86">
        <v>0</v>
      </c>
      <c r="H23" s="32" t="s">
        <v>9</v>
      </c>
      <c r="I23" s="27">
        <f t="shared" si="11"/>
        <v>1</v>
      </c>
      <c r="J23" s="27" t="str">
        <f t="shared" si="12"/>
        <v/>
      </c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72"/>
      <c r="AP23" s="72"/>
      <c r="AQ23" s="72"/>
      <c r="AR23" s="72"/>
      <c r="AS23" s="74"/>
      <c r="AT23" s="27"/>
      <c r="AU23" s="27"/>
      <c r="AV23" s="72"/>
      <c r="AW23" s="72"/>
      <c r="AX23" s="72"/>
      <c r="AY23" s="72"/>
      <c r="AZ23" s="74"/>
      <c r="BA23" s="27"/>
      <c r="BB23" s="27"/>
      <c r="BC23" s="72"/>
      <c r="BD23" s="72"/>
      <c r="BE23" s="72"/>
      <c r="BF23" s="72"/>
      <c r="BG23" s="74"/>
    </row>
    <row r="24" s="1" customFormat="1" ht="27" customHeight="1" spans="1:59">
      <c r="A24" s="33"/>
      <c r="B24" s="34"/>
      <c r="C24" s="34"/>
      <c r="D24" s="35"/>
      <c r="E24" s="35"/>
      <c r="F24" s="37" t="str">
        <f t="shared" si="10"/>
        <v>1天</v>
      </c>
      <c r="G24" s="38">
        <v>0</v>
      </c>
      <c r="H24" s="39" t="s">
        <v>9</v>
      </c>
      <c r="I24" s="34">
        <f t="shared" si="11"/>
        <v>1</v>
      </c>
      <c r="J24" s="34" t="str">
        <f t="shared" si="12"/>
        <v/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75"/>
      <c r="AP24" s="75"/>
      <c r="AQ24" s="75"/>
      <c r="AR24" s="75"/>
      <c r="AS24" s="76"/>
      <c r="AT24" s="34"/>
      <c r="AU24" s="34"/>
      <c r="AV24" s="75"/>
      <c r="AW24" s="75"/>
      <c r="AX24" s="75"/>
      <c r="AY24" s="75"/>
      <c r="AZ24" s="76"/>
      <c r="BA24" s="34"/>
      <c r="BB24" s="34"/>
      <c r="BC24" s="75"/>
      <c r="BD24" s="75"/>
      <c r="BE24" s="75"/>
      <c r="BF24" s="75"/>
      <c r="BG24" s="76"/>
    </row>
    <row r="25" s="1" customFormat="1" ht="27" customHeight="1" spans="1:59">
      <c r="A25" s="79">
        <v>4</v>
      </c>
      <c r="B25" s="80" t="s">
        <v>70</v>
      </c>
      <c r="C25" s="80" t="s">
        <v>71</v>
      </c>
      <c r="D25" s="81">
        <v>45783</v>
      </c>
      <c r="E25" s="81">
        <v>45793</v>
      </c>
      <c r="F25" s="83" t="str">
        <f t="shared" si="10"/>
        <v>11天</v>
      </c>
      <c r="G25" s="84">
        <v>0</v>
      </c>
      <c r="H25" s="85" t="s">
        <v>7</v>
      </c>
      <c r="I25" s="80" t="str">
        <f t="shared" si="11"/>
        <v/>
      </c>
      <c r="J25" s="80" t="str">
        <f t="shared" si="12"/>
        <v/>
      </c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9"/>
      <c r="AP25" s="89"/>
      <c r="AQ25" s="89"/>
      <c r="AR25" s="89"/>
      <c r="AS25" s="91"/>
      <c r="AT25" s="80"/>
      <c r="AU25" s="80"/>
      <c r="AV25" s="89"/>
      <c r="AW25" s="89"/>
      <c r="AX25" s="89"/>
      <c r="AY25" s="89"/>
      <c r="AZ25" s="91"/>
      <c r="BA25" s="80"/>
      <c r="BB25" s="80"/>
      <c r="BC25" s="89"/>
      <c r="BD25" s="89"/>
      <c r="BE25" s="89"/>
      <c r="BF25" s="89"/>
      <c r="BG25" s="91"/>
    </row>
    <row r="26" s="1" customFormat="1" ht="27" customHeight="1" spans="1:59">
      <c r="A26" s="26"/>
      <c r="B26" s="27"/>
      <c r="C26" s="27" t="s">
        <v>72</v>
      </c>
      <c r="D26" s="28">
        <v>45783</v>
      </c>
      <c r="E26" s="28">
        <v>45795</v>
      </c>
      <c r="F26" s="30" t="str">
        <f t="shared" si="10"/>
        <v>13天</v>
      </c>
      <c r="G26" s="86">
        <v>0</v>
      </c>
      <c r="H26" s="32" t="s">
        <v>7</v>
      </c>
      <c r="I26" s="27" t="str">
        <f t="shared" si="11"/>
        <v/>
      </c>
      <c r="J26" s="27" t="str">
        <f t="shared" si="12"/>
        <v/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72"/>
      <c r="AP26" s="72"/>
      <c r="AQ26" s="72"/>
      <c r="AR26" s="72"/>
      <c r="AS26" s="74"/>
      <c r="AT26" s="27"/>
      <c r="AU26" s="27"/>
      <c r="AV26" s="72"/>
      <c r="AW26" s="72"/>
      <c r="AX26" s="72"/>
      <c r="AY26" s="72"/>
      <c r="AZ26" s="74"/>
      <c r="BA26" s="27"/>
      <c r="BB26" s="27"/>
      <c r="BC26" s="72"/>
      <c r="BD26" s="72"/>
      <c r="BE26" s="72"/>
      <c r="BF26" s="72"/>
      <c r="BG26" s="74"/>
    </row>
    <row r="27" s="1" customFormat="1" ht="27" customHeight="1" spans="1:59">
      <c r="A27" s="26"/>
      <c r="B27" s="27"/>
      <c r="C27" s="27" t="s">
        <v>73</v>
      </c>
      <c r="D27" s="28">
        <v>45772</v>
      </c>
      <c r="E27" s="28">
        <v>45774</v>
      </c>
      <c r="F27" s="30" t="str">
        <f t="shared" si="10"/>
        <v>3天</v>
      </c>
      <c r="G27" s="86">
        <v>0.1</v>
      </c>
      <c r="H27" s="32" t="s">
        <v>9</v>
      </c>
      <c r="I27" s="27">
        <f t="shared" si="11"/>
        <v>1</v>
      </c>
      <c r="J27" s="27" t="str">
        <f t="shared" si="12"/>
        <v/>
      </c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72"/>
      <c r="AP27" s="72"/>
      <c r="AQ27" s="72"/>
      <c r="AR27" s="72"/>
      <c r="AS27" s="74"/>
      <c r="AT27" s="27"/>
      <c r="AU27" s="27"/>
      <c r="AV27" s="72"/>
      <c r="AW27" s="72"/>
      <c r="AX27" s="72"/>
      <c r="AY27" s="72"/>
      <c r="AZ27" s="74"/>
      <c r="BA27" s="27"/>
      <c r="BB27" s="27"/>
      <c r="BC27" s="72"/>
      <c r="BD27" s="72"/>
      <c r="BE27" s="72"/>
      <c r="BF27" s="72"/>
      <c r="BG27" s="74"/>
    </row>
    <row r="28" s="1" customFormat="1" ht="27" customHeight="1" spans="1:59">
      <c r="A28" s="33"/>
      <c r="B28" s="34"/>
      <c r="C28" s="34"/>
      <c r="D28" s="35"/>
      <c r="E28" s="35"/>
      <c r="F28" s="37" t="str">
        <f t="shared" si="10"/>
        <v>1天</v>
      </c>
      <c r="G28" s="38">
        <v>0</v>
      </c>
      <c r="H28" s="39" t="s">
        <v>9</v>
      </c>
      <c r="I28" s="34">
        <f t="shared" si="11"/>
        <v>1</v>
      </c>
      <c r="J28" s="34" t="str">
        <f t="shared" si="12"/>
        <v/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75"/>
      <c r="AP28" s="75"/>
      <c r="AQ28" s="75"/>
      <c r="AR28" s="75"/>
      <c r="AS28" s="76"/>
      <c r="AT28" s="34"/>
      <c r="AU28" s="34"/>
      <c r="AV28" s="75"/>
      <c r="AW28" s="75"/>
      <c r="AX28" s="75"/>
      <c r="AY28" s="75"/>
      <c r="AZ28" s="76"/>
      <c r="BA28" s="34"/>
      <c r="BB28" s="34"/>
      <c r="BC28" s="75"/>
      <c r="BD28" s="75"/>
      <c r="BE28" s="75"/>
      <c r="BF28" s="75"/>
      <c r="BG28" s="76"/>
    </row>
    <row r="29" s="1" customFormat="1" ht="27" customHeight="1" spans="1:59">
      <c r="A29" s="79">
        <v>5</v>
      </c>
      <c r="B29" s="80" t="s">
        <v>74</v>
      </c>
      <c r="C29" s="80" t="s">
        <v>75</v>
      </c>
      <c r="D29" s="81">
        <v>45772</v>
      </c>
      <c r="E29" s="81">
        <v>45774</v>
      </c>
      <c r="F29" s="83" t="str">
        <f t="shared" si="10"/>
        <v>3天</v>
      </c>
      <c r="G29" s="84">
        <v>0.1</v>
      </c>
      <c r="H29" s="85" t="s">
        <v>9</v>
      </c>
      <c r="I29" s="80">
        <f t="shared" si="11"/>
        <v>1</v>
      </c>
      <c r="J29" s="80" t="str">
        <f t="shared" si="12"/>
        <v/>
      </c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9"/>
      <c r="AP29" s="89"/>
      <c r="AQ29" s="89"/>
      <c r="AR29" s="89"/>
      <c r="AS29" s="91"/>
      <c r="AT29" s="80"/>
      <c r="AU29" s="80"/>
      <c r="AV29" s="89"/>
      <c r="AW29" s="89"/>
      <c r="AX29" s="89"/>
      <c r="AY29" s="89"/>
      <c r="AZ29" s="91"/>
      <c r="BA29" s="80"/>
      <c r="BB29" s="80"/>
      <c r="BC29" s="89"/>
      <c r="BD29" s="89"/>
      <c r="BE29" s="89"/>
      <c r="BF29" s="89"/>
      <c r="BG29" s="91"/>
    </row>
    <row r="30" s="1" customFormat="1" ht="27" customHeight="1" spans="1:59">
      <c r="A30" s="26"/>
      <c r="B30" s="27"/>
      <c r="C30" s="27" t="s">
        <v>76</v>
      </c>
      <c r="D30" s="28">
        <v>45797</v>
      </c>
      <c r="E30" s="28">
        <v>45799</v>
      </c>
      <c r="F30" s="30" t="str">
        <f t="shared" si="10"/>
        <v>3天</v>
      </c>
      <c r="G30" s="86">
        <v>0</v>
      </c>
      <c r="H30" s="32" t="s">
        <v>5</v>
      </c>
      <c r="I30" s="27" t="str">
        <f t="shared" si="11"/>
        <v/>
      </c>
      <c r="J30" s="27" t="str">
        <f t="shared" si="12"/>
        <v/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72"/>
      <c r="AP30" s="72"/>
      <c r="AQ30" s="72"/>
      <c r="AR30" s="72"/>
      <c r="AS30" s="74"/>
      <c r="AT30" s="27"/>
      <c r="AU30" s="27"/>
      <c r="AV30" s="72"/>
      <c r="AW30" s="72"/>
      <c r="AX30" s="72"/>
      <c r="AY30" s="72"/>
      <c r="AZ30" s="74"/>
      <c r="BA30" s="27"/>
      <c r="BB30" s="27"/>
      <c r="BC30" s="72"/>
      <c r="BD30" s="72"/>
      <c r="BE30" s="72"/>
      <c r="BF30" s="72"/>
      <c r="BG30" s="74"/>
    </row>
    <row r="31" s="1" customFormat="1" ht="27" customHeight="1" spans="1:59">
      <c r="A31" s="26"/>
      <c r="B31" s="27"/>
      <c r="C31" s="27"/>
      <c r="D31" s="28"/>
      <c r="E31" s="28"/>
      <c r="F31" s="30" t="str">
        <f t="shared" si="10"/>
        <v>1天</v>
      </c>
      <c r="G31" s="86">
        <v>0</v>
      </c>
      <c r="H31" s="32" t="s">
        <v>9</v>
      </c>
      <c r="I31" s="27">
        <f t="shared" si="11"/>
        <v>1</v>
      </c>
      <c r="J31" s="27" t="str">
        <f t="shared" si="12"/>
        <v/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72"/>
      <c r="AP31" s="72"/>
      <c r="AQ31" s="72"/>
      <c r="AR31" s="72"/>
      <c r="AS31" s="74"/>
      <c r="AT31" s="27"/>
      <c r="AU31" s="27"/>
      <c r="AV31" s="72"/>
      <c r="AW31" s="72"/>
      <c r="AX31" s="72"/>
      <c r="AY31" s="72"/>
      <c r="AZ31" s="74"/>
      <c r="BA31" s="27"/>
      <c r="BB31" s="27"/>
      <c r="BC31" s="72"/>
      <c r="BD31" s="72"/>
      <c r="BE31" s="72"/>
      <c r="BF31" s="72"/>
      <c r="BG31" s="74"/>
    </row>
    <row r="32" s="1" customFormat="1" ht="27" customHeight="1" spans="1:59">
      <c r="A32" s="33"/>
      <c r="B32" s="34"/>
      <c r="C32" s="34"/>
      <c r="D32" s="35"/>
      <c r="E32" s="35"/>
      <c r="F32" s="37" t="str">
        <f t="shared" si="10"/>
        <v>1天</v>
      </c>
      <c r="G32" s="38">
        <v>0</v>
      </c>
      <c r="H32" s="39" t="s">
        <v>9</v>
      </c>
      <c r="I32" s="34">
        <f t="shared" si="11"/>
        <v>1</v>
      </c>
      <c r="J32" s="34" t="str">
        <f t="shared" si="12"/>
        <v/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75"/>
      <c r="AP32" s="75"/>
      <c r="AQ32" s="75"/>
      <c r="AR32" s="75"/>
      <c r="AS32" s="76"/>
      <c r="AT32" s="34"/>
      <c r="AU32" s="34"/>
      <c r="AV32" s="75"/>
      <c r="AW32" s="75"/>
      <c r="AX32" s="75"/>
      <c r="AY32" s="75"/>
      <c r="AZ32" s="76"/>
      <c r="BA32" s="34"/>
      <c r="BB32" s="34"/>
      <c r="BC32" s="75"/>
      <c r="BD32" s="75"/>
      <c r="BE32" s="75"/>
      <c r="BF32" s="75"/>
      <c r="BG32" s="76"/>
    </row>
    <row r="33" s="1" customFormat="1" ht="27" customHeight="1" spans="1:59">
      <c r="A33" s="80">
        <v>6</v>
      </c>
      <c r="B33" s="80" t="s">
        <v>77</v>
      </c>
      <c r="C33" s="80" t="s">
        <v>78</v>
      </c>
      <c r="D33" s="81">
        <v>45783</v>
      </c>
      <c r="E33" s="81">
        <v>45796</v>
      </c>
      <c r="F33" s="83" t="str">
        <f t="shared" si="10"/>
        <v>14天</v>
      </c>
      <c r="G33" s="84">
        <v>0</v>
      </c>
      <c r="H33" s="85" t="s">
        <v>7</v>
      </c>
      <c r="I33" s="80" t="str">
        <f t="shared" si="11"/>
        <v/>
      </c>
      <c r="J33" s="80" t="str">
        <f t="shared" si="12"/>
        <v/>
      </c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9"/>
      <c r="AP33" s="89"/>
      <c r="AQ33" s="89"/>
      <c r="AR33" s="89"/>
      <c r="AS33" s="92"/>
      <c r="AT33" s="80"/>
      <c r="AU33" s="80"/>
      <c r="AV33" s="89"/>
      <c r="AW33" s="89"/>
      <c r="AX33" s="89"/>
      <c r="AY33" s="89"/>
      <c r="AZ33" s="92"/>
      <c r="BA33" s="80"/>
      <c r="BB33" s="80"/>
      <c r="BC33" s="89"/>
      <c r="BD33" s="89"/>
      <c r="BE33" s="89"/>
      <c r="BF33" s="89"/>
      <c r="BG33" s="92"/>
    </row>
    <row r="34" s="1" customFormat="1" ht="27" customHeight="1" spans="1:59">
      <c r="A34" s="27"/>
      <c r="B34" s="27"/>
      <c r="C34" s="27"/>
      <c r="D34" s="28"/>
      <c r="E34" s="28"/>
      <c r="F34" s="30" t="str">
        <f t="shared" si="10"/>
        <v>1天</v>
      </c>
      <c r="G34" s="86">
        <v>0</v>
      </c>
      <c r="H34" s="32" t="s">
        <v>9</v>
      </c>
      <c r="I34" s="27">
        <f t="shared" si="11"/>
        <v>1</v>
      </c>
      <c r="J34" s="27" t="str">
        <f t="shared" si="12"/>
        <v/>
      </c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72"/>
      <c r="AP34" s="72"/>
      <c r="AQ34" s="72"/>
      <c r="AR34" s="72"/>
      <c r="AS34" s="93"/>
      <c r="AT34" s="27"/>
      <c r="AU34" s="27"/>
      <c r="AV34" s="72"/>
      <c r="AW34" s="72"/>
      <c r="AX34" s="72"/>
      <c r="AY34" s="72"/>
      <c r="AZ34" s="93"/>
      <c r="BA34" s="27"/>
      <c r="BB34" s="27"/>
      <c r="BC34" s="72"/>
      <c r="BD34" s="72"/>
      <c r="BE34" s="72"/>
      <c r="BF34" s="72"/>
      <c r="BG34" s="93"/>
    </row>
    <row r="35" s="1" customFormat="1" ht="27" customHeight="1" spans="1:59">
      <c r="A35" s="27"/>
      <c r="B35" s="27"/>
      <c r="C35" s="27"/>
      <c r="D35" s="28"/>
      <c r="E35" s="28"/>
      <c r="F35" s="30" t="str">
        <f t="shared" si="10"/>
        <v>1天</v>
      </c>
      <c r="G35" s="31">
        <v>0</v>
      </c>
      <c r="H35" s="32" t="s">
        <v>9</v>
      </c>
      <c r="I35" s="27">
        <f t="shared" si="11"/>
        <v>1</v>
      </c>
      <c r="J35" s="27" t="str">
        <f t="shared" si="12"/>
        <v/>
      </c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72"/>
      <c r="AP35" s="72"/>
      <c r="AQ35" s="72"/>
      <c r="AR35" s="72"/>
      <c r="AS35" s="93"/>
      <c r="AT35" s="27"/>
      <c r="AU35" s="27"/>
      <c r="AV35" s="72"/>
      <c r="AW35" s="72"/>
      <c r="AX35" s="72"/>
      <c r="AY35" s="72"/>
      <c r="AZ35" s="93"/>
      <c r="BA35" s="27"/>
      <c r="BB35" s="27"/>
      <c r="BC35" s="72"/>
      <c r="BD35" s="72"/>
      <c r="BE35" s="72"/>
      <c r="BF35" s="72"/>
      <c r="BG35" s="93"/>
    </row>
    <row r="36" s="1" customFormat="1" ht="27" customHeight="1" spans="1:59">
      <c r="A36" s="27"/>
      <c r="B36" s="27"/>
      <c r="C36" s="27"/>
      <c r="D36" s="28"/>
      <c r="E36" s="28"/>
      <c r="F36" s="30" t="str">
        <f t="shared" si="10"/>
        <v>1天</v>
      </c>
      <c r="G36" s="31">
        <v>0</v>
      </c>
      <c r="H36" s="32" t="s">
        <v>9</v>
      </c>
      <c r="I36" s="27">
        <f t="shared" si="11"/>
        <v>1</v>
      </c>
      <c r="J36" s="27" t="str">
        <f t="shared" si="12"/>
        <v/>
      </c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72"/>
      <c r="AP36" s="72"/>
      <c r="AQ36" s="72"/>
      <c r="AR36" s="72"/>
      <c r="AS36" s="93"/>
      <c r="AT36" s="27"/>
      <c r="AU36" s="27"/>
      <c r="AV36" s="72"/>
      <c r="AW36" s="72"/>
      <c r="AX36" s="72"/>
      <c r="AY36" s="72"/>
      <c r="AZ36" s="93"/>
      <c r="BA36" s="27"/>
      <c r="BB36" s="27"/>
      <c r="BC36" s="72"/>
      <c r="BD36" s="72"/>
      <c r="BE36" s="72"/>
      <c r="BF36" s="72"/>
      <c r="BG36" s="93"/>
    </row>
    <row r="37" s="3" customFormat="1" ht="25.05" customHeight="1" spans="1:58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T37" s="45"/>
      <c r="AU37" s="45"/>
      <c r="AV37" s="45"/>
      <c r="AW37" s="45"/>
      <c r="AX37" s="45"/>
      <c r="AY37" s="45"/>
      <c r="BA37" s="45"/>
      <c r="BB37" s="45"/>
      <c r="BC37" s="45"/>
      <c r="BD37" s="45"/>
      <c r="BE37" s="45"/>
      <c r="BF37" s="45"/>
    </row>
    <row r="38" spans="1:5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T38" s="46"/>
      <c r="AU38" s="46"/>
      <c r="AV38" s="46"/>
      <c r="AW38" s="46"/>
      <c r="AX38" s="46"/>
      <c r="AY38" s="46"/>
      <c r="BA38" s="46"/>
      <c r="BB38" s="46"/>
      <c r="BC38" s="46"/>
      <c r="BD38" s="46"/>
      <c r="BE38" s="46"/>
      <c r="BF38" s="46"/>
    </row>
    <row r="40" spans="8:8">
      <c r="H40" s="47"/>
    </row>
  </sheetData>
  <mergeCells count="33">
    <mergeCell ref="M4:O4"/>
    <mergeCell ref="M5:O5"/>
    <mergeCell ref="A8:F8"/>
    <mergeCell ref="G8:J8"/>
    <mergeCell ref="K8:Q8"/>
    <mergeCell ref="R8:X8"/>
    <mergeCell ref="Y8:AE8"/>
    <mergeCell ref="AF8:AL8"/>
    <mergeCell ref="AM8:AS8"/>
    <mergeCell ref="AT8:AZ8"/>
    <mergeCell ref="BA8:BG8"/>
    <mergeCell ref="A9:A10"/>
    <mergeCell ref="A11:A14"/>
    <mergeCell ref="A15:A20"/>
    <mergeCell ref="A21:A24"/>
    <mergeCell ref="A25:A28"/>
    <mergeCell ref="A29:A32"/>
    <mergeCell ref="A33:A36"/>
    <mergeCell ref="B9:B10"/>
    <mergeCell ref="B11:B14"/>
    <mergeCell ref="B15:B20"/>
    <mergeCell ref="B21:B24"/>
    <mergeCell ref="B25:B28"/>
    <mergeCell ref="B29:B32"/>
    <mergeCell ref="B33:B36"/>
    <mergeCell ref="C9:C10"/>
    <mergeCell ref="D9:D10"/>
    <mergeCell ref="E9:E10"/>
    <mergeCell ref="F9:F10"/>
    <mergeCell ref="G9:G10"/>
    <mergeCell ref="H9:H10"/>
    <mergeCell ref="I9:I10"/>
    <mergeCell ref="J9:J10"/>
  </mergeCells>
  <conditionalFormatting sqref="G16">
    <cfRule type="dataBar" priority="32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{22892e89-1dd9-48cd-892e-92c8fa9024b9}</x14:id>
        </ext>
      </extLst>
    </cfRule>
  </conditionalFormatting>
  <conditionalFormatting sqref="H16">
    <cfRule type="containsText" dxfId="0" priority="28" operator="between" text="未开始">
      <formula>NOT(ISERROR(SEARCH("未开始",H16)))</formula>
    </cfRule>
    <cfRule type="containsText" dxfId="1" priority="29" operator="between" text="进行中">
      <formula>NOT(ISERROR(SEARCH("进行中",H16)))</formula>
    </cfRule>
    <cfRule type="containsText" dxfId="2" priority="30" operator="between" text="已完成">
      <formula>NOT(ISERROR(SEARCH("已完成",H16)))</formula>
    </cfRule>
  </conditionalFormatting>
  <conditionalFormatting sqref="I16">
    <cfRule type="iconSet" priority="27">
      <iconSet iconSet="3Symbols2" showValue="0">
        <cfvo type="percent" val="0"/>
        <cfvo type="num" val="0"/>
        <cfvo type="num" val="0"/>
      </iconSet>
    </cfRule>
  </conditionalFormatting>
  <conditionalFormatting sqref="K16:AS16">
    <cfRule type="expression" dxfId="3" priority="31">
      <formula>AND(K$10&gt;=$D16,K$10&lt;=$E16)</formula>
    </cfRule>
  </conditionalFormatting>
  <conditionalFormatting sqref="AT16:AZ16">
    <cfRule type="expression" dxfId="3" priority="22">
      <formula>AND(AT$10&gt;=$D16,AT$10&lt;=$E16)</formula>
    </cfRule>
  </conditionalFormatting>
  <conditionalFormatting sqref="BA16:BG16">
    <cfRule type="expression" dxfId="3" priority="10">
      <formula>AND(BA$10&gt;=$D16,BA$10&lt;=$E16)</formula>
    </cfRule>
  </conditionalFormatting>
  <conditionalFormatting sqref="G17">
    <cfRule type="dataBar" priority="7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{2210158c-6e56-468e-bde2-24e107920f67}</x14:id>
        </ext>
      </extLst>
    </cfRule>
  </conditionalFormatting>
  <conditionalFormatting sqref="H17">
    <cfRule type="containsText" dxfId="2" priority="5" operator="between" text="已完成">
      <formula>NOT(ISERROR(SEARCH("已完成",H17)))</formula>
    </cfRule>
    <cfRule type="containsText" dxfId="1" priority="4" operator="between" text="进行中">
      <formula>NOT(ISERROR(SEARCH("进行中",H17)))</formula>
    </cfRule>
    <cfRule type="containsText" dxfId="0" priority="3" operator="between" text="未开始">
      <formula>NOT(ISERROR(SEARCH("未开始",H17)))</formula>
    </cfRule>
  </conditionalFormatting>
  <conditionalFormatting sqref="I17">
    <cfRule type="iconSet" priority="8">
      <iconSet iconSet="3Symbols2" showValue="0">
        <cfvo type="percent" val="0"/>
        <cfvo type="num" val="0"/>
        <cfvo type="num" val="0"/>
      </iconSet>
    </cfRule>
  </conditionalFormatting>
  <conditionalFormatting sqref="K17:AS17">
    <cfRule type="expression" dxfId="3" priority="6">
      <formula>AND(K$10&gt;=$D17,K$10&lt;=$E17)</formula>
    </cfRule>
  </conditionalFormatting>
  <conditionalFormatting sqref="AT17:AZ17">
    <cfRule type="expression" dxfId="3" priority="2">
      <formula>AND(AT$10&gt;=$D17,AT$10&lt;=$E17)</formula>
    </cfRule>
  </conditionalFormatting>
  <conditionalFormatting sqref="BA17:BG17">
    <cfRule type="expression" dxfId="3" priority="1">
      <formula>AND(BA$10&gt;=$D17,BA$10&lt;=$E17)</formula>
    </cfRule>
  </conditionalFormatting>
  <conditionalFormatting sqref="I27">
    <cfRule type="iconSet" priority="26">
      <iconSet iconSet="3Symbols2" showValue="0">
        <cfvo type="percent" val="0"/>
        <cfvo type="num" val="0"/>
        <cfvo type="num" val="0"/>
      </iconSet>
    </cfRule>
  </conditionalFormatting>
  <conditionalFormatting sqref="E3:E5">
    <cfRule type="dataBar" priority="52">
      <dataBar>
        <cfvo type="min"/>
        <cfvo type="max"/>
        <color rgb="FF92DFCB"/>
      </dataBar>
      <extLst>
        <ext xmlns:x14="http://schemas.microsoft.com/office/spreadsheetml/2009/9/main" uri="{B025F937-C7B1-47D3-B67F-A62EFF666E3E}">
          <x14:id>{58542851-06e3-4308-8556-ed67ec35eb64}</x14:id>
        </ext>
      </extLst>
    </cfRule>
  </conditionalFormatting>
  <conditionalFormatting sqref="G25:G28">
    <cfRule type="dataBar" priority="46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{90817876-5851-4cfc-b659-e694bc038d38}</x14:id>
        </ext>
      </extLst>
    </cfRule>
  </conditionalFormatting>
  <conditionalFormatting sqref="G29:G32">
    <cfRule type="dataBar" priority="39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{b758fd5e-e07e-49e6-9394-209564f37485}</x14:id>
        </ext>
      </extLst>
    </cfRule>
  </conditionalFormatting>
  <conditionalFormatting sqref="H25:H28">
    <cfRule type="containsText" dxfId="0" priority="42" operator="between" text="未开始">
      <formula>NOT(ISERROR(SEARCH("未开始",H25)))</formula>
    </cfRule>
    <cfRule type="containsText" dxfId="1" priority="43" operator="between" text="进行中">
      <formula>NOT(ISERROR(SEARCH("进行中",H25)))</formula>
    </cfRule>
    <cfRule type="containsText" dxfId="2" priority="44" operator="between" text="已完成">
      <formula>NOT(ISERROR(SEARCH("已完成",H25)))</formula>
    </cfRule>
  </conditionalFormatting>
  <conditionalFormatting sqref="H29:H32">
    <cfRule type="containsText" dxfId="0" priority="35" operator="between" text="未开始">
      <formula>NOT(ISERROR(SEARCH("未开始",H29)))</formula>
    </cfRule>
    <cfRule type="containsText" dxfId="1" priority="36" operator="between" text="进行中">
      <formula>NOT(ISERROR(SEARCH("进行中",H29)))</formula>
    </cfRule>
    <cfRule type="containsText" dxfId="2" priority="37" operator="between" text="已完成">
      <formula>NOT(ISERROR(SEARCH("已完成",H29)))</formula>
    </cfRule>
  </conditionalFormatting>
  <conditionalFormatting sqref="I29:I32">
    <cfRule type="iconSet" priority="40">
      <iconSet iconSet="3Symbols2" showValue="0">
        <cfvo type="percent" val="0"/>
        <cfvo type="num" val="0"/>
        <cfvo type="num" val="0"/>
      </iconSet>
    </cfRule>
  </conditionalFormatting>
  <conditionalFormatting sqref="G11:G15 G18:G24 G33:G36">
    <cfRule type="dataBar" priority="54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{f590e6df-0814-453d-bbf3-5225ed4e7fe3}</x14:id>
        </ext>
      </extLst>
    </cfRule>
  </conditionalFormatting>
  <conditionalFormatting sqref="H11:H15 H18:H24 H33:H36">
    <cfRule type="containsText" dxfId="0" priority="49" operator="between" text="未开始">
      <formula>NOT(ISERROR(SEARCH("未开始",H11)))</formula>
    </cfRule>
    <cfRule type="containsText" dxfId="1" priority="50" operator="between" text="进行中">
      <formula>NOT(ISERROR(SEARCH("进行中",H11)))</formula>
    </cfRule>
    <cfRule type="containsText" dxfId="2" priority="51" operator="between" text="已完成">
      <formula>NOT(ISERROR(SEARCH("已完成",H11)))</formula>
    </cfRule>
  </conditionalFormatting>
  <conditionalFormatting sqref="I11:I15 I18:I24 I33:I36">
    <cfRule type="iconSet" priority="55">
      <iconSet iconSet="3Symbols2" showValue="0">
        <cfvo type="percent" val="0"/>
        <cfvo type="num" val="0"/>
        <cfvo type="num" val="0"/>
      </iconSet>
    </cfRule>
  </conditionalFormatting>
  <conditionalFormatting sqref="K11:AS15 K18:AS24 K33:AS36">
    <cfRule type="expression" dxfId="3" priority="53">
      <formula>AND(K$10&gt;=$D11,K$10&lt;=$E11)</formula>
    </cfRule>
  </conditionalFormatting>
  <conditionalFormatting sqref="AT11:AZ15 AT18:AZ24 AT33:AZ36">
    <cfRule type="expression" dxfId="3" priority="25">
      <formula>AND(AT$10&gt;=$D11,AT$10&lt;=$E11)</formula>
    </cfRule>
  </conditionalFormatting>
  <conditionalFormatting sqref="BA11:BG15 BA18:BG24 BA33:BG36">
    <cfRule type="expression" dxfId="3" priority="13">
      <formula>AND(BA$10&gt;=$D11,BA$10&lt;=$E11)</formula>
    </cfRule>
  </conditionalFormatting>
  <conditionalFormatting sqref="I25:I26 I28">
    <cfRule type="iconSet" priority="47">
      <iconSet iconSet="3Symbols2" showValue="0">
        <cfvo type="percent" val="0"/>
        <cfvo type="num" val="0"/>
        <cfvo type="num" val="0"/>
      </iconSet>
    </cfRule>
  </conditionalFormatting>
  <conditionalFormatting sqref="K25:AS28">
    <cfRule type="expression" dxfId="3" priority="45">
      <formula>AND(K$10&gt;=$D25,K$10&lt;=$E25)</formula>
    </cfRule>
  </conditionalFormatting>
  <conditionalFormatting sqref="AT25:AZ28">
    <cfRule type="expression" dxfId="3" priority="24">
      <formula>AND(AT$10&gt;=$D25,AT$10&lt;=$E25)</formula>
    </cfRule>
  </conditionalFormatting>
  <conditionalFormatting sqref="BA25:BG28">
    <cfRule type="expression" dxfId="3" priority="12">
      <formula>AND(BA$10&gt;=$D25,BA$10&lt;=$E25)</formula>
    </cfRule>
  </conditionalFormatting>
  <conditionalFormatting sqref="K29:AS32">
    <cfRule type="expression" dxfId="3" priority="38">
      <formula>AND(K$10&gt;=$D29,K$10&lt;=$E29)</formula>
    </cfRule>
  </conditionalFormatting>
  <conditionalFormatting sqref="AT29:AZ32">
    <cfRule type="expression" dxfId="3" priority="23">
      <formula>AND(AT$10&gt;=$D29,AT$10&lt;=$E29)</formula>
    </cfRule>
  </conditionalFormatting>
  <conditionalFormatting sqref="BA29:BG32">
    <cfRule type="expression" dxfId="3" priority="11">
      <formula>AND(BA$10&gt;=$D29,BA$10&lt;=$E29)</formula>
    </cfRule>
  </conditionalFormatting>
  <dataValidations count="1">
    <dataValidation type="list" allowBlank="1" showInputMessage="1" showErrorMessage="1" sqref="H11:H36">
      <formula1>"未开始,进行中,已完成"</formula1>
    </dataValidation>
  </dataValidation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892e89-1dd9-48cd-892e-92c8fa9024b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G16</xm:sqref>
        </x14:conditionalFormatting>
        <x14:conditionalFormatting xmlns:xm="http://schemas.microsoft.com/office/excel/2006/main">
          <x14:cfRule type="iconSet" priority="34" id="{d3945f0b-bad1-4303-9777-873f155e1380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J16</xm:sqref>
        </x14:conditionalFormatting>
        <x14:conditionalFormatting xmlns:xm="http://schemas.microsoft.com/office/excel/2006/main">
          <x14:cfRule type="dataBar" id="{2210158c-6e56-468e-bde2-24e107920f6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G17</xm:sqref>
        </x14:conditionalFormatting>
        <x14:conditionalFormatting xmlns:xm="http://schemas.microsoft.com/office/excel/2006/main">
          <x14:cfRule type="iconSet" priority="9" id="{6725c457-92f8-41cf-a176-93dfb8198801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J17</xm:sqref>
        </x14:conditionalFormatting>
        <x14:conditionalFormatting xmlns:xm="http://schemas.microsoft.com/office/excel/2006/main">
          <x14:cfRule type="dataBar" id="{58542851-06e3-4308-8556-ed67ec35eb64}">
            <x14:dataBar minLength="0" maxLength="100" border="1" negativeBarBorderColorSameAsPositive="0">
              <x14:cfvo type="autoMin"/>
              <x14:cfvo type="autoMax"/>
              <x14:borderColor rgb="FF92DFCB"/>
              <x14:negativeFillColor rgb="FFFF0000"/>
              <x14:negativeBorderColor rgb="FFFF0000"/>
              <x14:axisColor rgb="FF000000"/>
            </x14:dataBar>
          </x14:cfRule>
          <xm:sqref>E3:E5</xm:sqref>
        </x14:conditionalFormatting>
        <x14:conditionalFormatting xmlns:xm="http://schemas.microsoft.com/office/excel/2006/main">
          <x14:cfRule type="dataBar" id="{90817876-5851-4cfc-b659-e694bc038d3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G25:G28</xm:sqref>
        </x14:conditionalFormatting>
        <x14:conditionalFormatting xmlns:xm="http://schemas.microsoft.com/office/excel/2006/main">
          <x14:cfRule type="dataBar" id="{b758fd5e-e07e-49e6-9394-209564f3748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G29:G32</xm:sqref>
        </x14:conditionalFormatting>
        <x14:conditionalFormatting xmlns:xm="http://schemas.microsoft.com/office/excel/2006/main">
          <x14:cfRule type="iconSet" priority="48" id="{53cf81b9-128c-41e8-bdcf-0720b5b0a811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J25:J28</xm:sqref>
        </x14:conditionalFormatting>
        <x14:conditionalFormatting xmlns:xm="http://schemas.microsoft.com/office/excel/2006/main">
          <x14:cfRule type="iconSet" priority="41" id="{7393121c-4ed5-425e-ab13-9cedace523fc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J29:J32</xm:sqref>
        </x14:conditionalFormatting>
        <x14:conditionalFormatting xmlns:xm="http://schemas.microsoft.com/office/excel/2006/main">
          <x14:cfRule type="dataBar" id="{f590e6df-0814-453d-bbf3-5225ed4e7fe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G11:G15 G18:G24 G33:G36</xm:sqref>
        </x14:conditionalFormatting>
        <x14:conditionalFormatting xmlns:xm="http://schemas.microsoft.com/office/excel/2006/main">
          <x14:cfRule type="iconSet" priority="56" id="{f7a02563-c98b-4eff-9401-3c2bd1fcd0aa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J11:J15 J18:J24 J33:J36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36"/>
  <sheetViews>
    <sheetView showGridLines="0" zoomScale="70" zoomScaleNormal="70" workbookViewId="0">
      <pane xSplit="31" ySplit="10" topLeftCell="AF11" activePane="bottomRight" state="frozen"/>
      <selection/>
      <selection pane="topRight"/>
      <selection pane="bottomLeft"/>
      <selection pane="bottomRight" activeCell="C18" sqref="C18"/>
    </sheetView>
  </sheetViews>
  <sheetFormatPr defaultColWidth="8.88333333333333" defaultRowHeight="13"/>
  <cols>
    <col min="1" max="1" width="14.5583333333333" style="4" customWidth="1"/>
    <col min="2" max="2" width="20.775" style="4" customWidth="1"/>
    <col min="3" max="3" width="19" style="4" customWidth="1"/>
    <col min="4" max="5" width="15.1083333333333" style="4" customWidth="1"/>
    <col min="6" max="6" width="12.775" style="4" customWidth="1"/>
    <col min="7" max="7" width="11.775" style="4" customWidth="1"/>
    <col min="8" max="8" width="10.3333333333333" style="4" customWidth="1"/>
    <col min="9" max="9" width="9.66666666666667" style="4" customWidth="1"/>
    <col min="10" max="10" width="12.5583333333333" style="4" customWidth="1"/>
    <col min="11" max="31" width="4" style="4" hidden="1" customWidth="1"/>
    <col min="32" max="66" width="4" style="4" customWidth="1"/>
    <col min="67" max="16384" width="8.88333333333333" style="4"/>
  </cols>
  <sheetData>
    <row r="1" ht="22.2" customHeight="1"/>
    <row r="2" s="1" customFormat="1" ht="28.05" customHeight="1" spans="1:62">
      <c r="A2" s="5" t="s">
        <v>0</v>
      </c>
      <c r="B2" s="6">
        <v>2025</v>
      </c>
      <c r="D2" s="7" t="s">
        <v>1</v>
      </c>
      <c r="E2" s="7" t="s">
        <v>2</v>
      </c>
      <c r="F2" s="7" t="s">
        <v>3</v>
      </c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T2" s="59"/>
      <c r="AU2" s="59"/>
      <c r="AV2" s="59"/>
      <c r="BA2" s="59"/>
      <c r="BB2" s="59"/>
      <c r="BC2" s="59"/>
      <c r="BH2" s="59"/>
      <c r="BI2" s="59"/>
      <c r="BJ2" s="59"/>
    </row>
    <row r="3" s="1" customFormat="1" ht="28.05" customHeight="1" spans="1:65">
      <c r="A3" s="5" t="s">
        <v>4</v>
      </c>
      <c r="B3" s="6">
        <v>4</v>
      </c>
      <c r="C3" s="8"/>
      <c r="D3" s="9" t="s">
        <v>5</v>
      </c>
      <c r="E3" s="9">
        <f>COUNTIF($H$13:$H$32,D3)</f>
        <v>5</v>
      </c>
      <c r="F3" s="10">
        <f>E3/$E$6</f>
        <v>0.294117647058824</v>
      </c>
      <c r="G3" s="8"/>
      <c r="H3" s="11"/>
      <c r="I3" s="11"/>
      <c r="J3" s="8"/>
      <c r="K3" s="8"/>
      <c r="L3" s="8"/>
      <c r="M3" s="8"/>
      <c r="N3" s="8"/>
      <c r="O3" s="8"/>
      <c r="P3" s="8"/>
      <c r="Q3" s="8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8"/>
      <c r="AQ3" s="8"/>
      <c r="AR3" s="8"/>
      <c r="AT3" s="60"/>
      <c r="AU3" s="60"/>
      <c r="AV3" s="60"/>
      <c r="AW3" s="8"/>
      <c r="AX3" s="8"/>
      <c r="AY3" s="8"/>
      <c r="BA3" s="60"/>
      <c r="BB3" s="60"/>
      <c r="BC3" s="60"/>
      <c r="BD3" s="8"/>
      <c r="BE3" s="8"/>
      <c r="BF3" s="8"/>
      <c r="BH3" s="60"/>
      <c r="BI3" s="60"/>
      <c r="BJ3" s="60"/>
      <c r="BK3" s="8"/>
      <c r="BL3" s="8"/>
      <c r="BM3" s="8"/>
    </row>
    <row r="4" s="1" customFormat="1" ht="28.05" customHeight="1" spans="1:65">
      <c r="A4" s="5" t="s">
        <v>6</v>
      </c>
      <c r="B4" s="12">
        <v>45772</v>
      </c>
      <c r="C4" s="8"/>
      <c r="D4" s="9" t="s">
        <v>7</v>
      </c>
      <c r="E4" s="9">
        <f>COUNTIF($H$13:$H$32,D4)</f>
        <v>8</v>
      </c>
      <c r="F4" s="10">
        <f t="shared" ref="F4:F5" si="0">E4/$E$6</f>
        <v>0.470588235294118</v>
      </c>
      <c r="G4" s="8"/>
      <c r="I4" s="48" t="str">
        <f>E5&amp;"项"</f>
        <v>4项</v>
      </c>
      <c r="J4" s="49"/>
      <c r="K4" s="8"/>
      <c r="L4" s="8"/>
      <c r="M4" s="50" t="str">
        <f>SUM(J13:J32)&amp;"项"</f>
        <v>6项</v>
      </c>
      <c r="N4" s="50"/>
      <c r="O4" s="50"/>
      <c r="P4" s="8"/>
      <c r="Q4" s="8"/>
      <c r="R4" s="60"/>
      <c r="S4" s="61" t="s">
        <v>8</v>
      </c>
      <c r="T4" s="61">
        <f>E6-T5</f>
        <v>11</v>
      </c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8"/>
      <c r="AQ4" s="8"/>
      <c r="AR4" s="8"/>
      <c r="AT4" s="60"/>
      <c r="AU4" s="60"/>
      <c r="AV4" s="60"/>
      <c r="AW4" s="8"/>
      <c r="AX4" s="8"/>
      <c r="AY4" s="8"/>
      <c r="BA4" s="60"/>
      <c r="BB4" s="60"/>
      <c r="BC4" s="60"/>
      <c r="BD4" s="8"/>
      <c r="BE4" s="8"/>
      <c r="BF4" s="8"/>
      <c r="BH4" s="60"/>
      <c r="BI4" s="60"/>
      <c r="BJ4" s="60"/>
      <c r="BK4" s="8"/>
      <c r="BL4" s="8"/>
      <c r="BM4" s="8"/>
    </row>
    <row r="5" s="1" customFormat="1" ht="28.05" customHeight="1" spans="3:65">
      <c r="C5" s="8"/>
      <c r="D5" s="9" t="s">
        <v>9</v>
      </c>
      <c r="E5" s="9">
        <f>COUNTIF($H$13:$H$32,D5)</f>
        <v>4</v>
      </c>
      <c r="F5" s="10">
        <f t="shared" si="0"/>
        <v>0.235294117647059</v>
      </c>
      <c r="G5" s="8"/>
      <c r="I5" s="51">
        <f>F5</f>
        <v>0.235294117647059</v>
      </c>
      <c r="J5" s="8"/>
      <c r="K5" s="8"/>
      <c r="L5" s="8"/>
      <c r="M5" s="52">
        <f>SUM(J13:J32)/E6</f>
        <v>0.352941176470588</v>
      </c>
      <c r="N5" s="52"/>
      <c r="O5" s="52"/>
      <c r="P5" s="8"/>
      <c r="Q5" s="8"/>
      <c r="R5" s="60"/>
      <c r="S5" s="61" t="s">
        <v>10</v>
      </c>
      <c r="T5" s="61">
        <f>SUM(J13:J32)</f>
        <v>6</v>
      </c>
      <c r="U5" s="60"/>
      <c r="V5" s="60"/>
      <c r="W5" s="60"/>
      <c r="X5" s="60"/>
      <c r="Y5" s="60"/>
      <c r="Z5" s="62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8"/>
      <c r="AQ5" s="8"/>
      <c r="AR5" s="8"/>
      <c r="AT5" s="60"/>
      <c r="AU5" s="60"/>
      <c r="AV5" s="60"/>
      <c r="AW5" s="8"/>
      <c r="AX5" s="8"/>
      <c r="AY5" s="8"/>
      <c r="BA5" s="60"/>
      <c r="BB5" s="60"/>
      <c r="BC5" s="60"/>
      <c r="BD5" s="8"/>
      <c r="BE5" s="8"/>
      <c r="BF5" s="8"/>
      <c r="BH5" s="60"/>
      <c r="BI5" s="60"/>
      <c r="BJ5" s="60"/>
      <c r="BK5" s="8"/>
      <c r="BL5" s="8"/>
      <c r="BM5" s="8"/>
    </row>
    <row r="6" s="1" customFormat="1" ht="28.05" customHeight="1" spans="1:65">
      <c r="A6" s="8"/>
      <c r="B6" s="13"/>
      <c r="C6" s="8"/>
      <c r="D6" s="14" t="s">
        <v>11</v>
      </c>
      <c r="E6" s="14">
        <f>SUM(E3:E5)</f>
        <v>17</v>
      </c>
      <c r="F6" s="15">
        <f>SUM(F3:F5)</f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3"/>
      <c r="AJ6" s="60"/>
      <c r="AK6" s="60"/>
      <c r="AL6" s="60"/>
      <c r="AM6" s="60"/>
      <c r="AN6" s="60"/>
      <c r="AO6" s="60"/>
      <c r="AP6" s="8"/>
      <c r="AQ6" s="8"/>
      <c r="AR6" s="8"/>
      <c r="AT6" s="60"/>
      <c r="AU6" s="60"/>
      <c r="AV6" s="60"/>
      <c r="AW6" s="8"/>
      <c r="AX6" s="8"/>
      <c r="AY6" s="8"/>
      <c r="BA6" s="60"/>
      <c r="BB6" s="60"/>
      <c r="BC6" s="60"/>
      <c r="BD6" s="8"/>
      <c r="BE6" s="8"/>
      <c r="BF6" s="8"/>
      <c r="BH6" s="60"/>
      <c r="BI6" s="60"/>
      <c r="BJ6" s="60"/>
      <c r="BK6" s="8"/>
      <c r="BL6" s="8"/>
      <c r="BM6" s="8"/>
    </row>
    <row r="7" ht="20.4" customHeight="1" spans="1:6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46"/>
      <c r="AQ7" s="46"/>
      <c r="AR7" s="46"/>
      <c r="AT7" s="16"/>
      <c r="AU7" s="16"/>
      <c r="AV7" s="16"/>
      <c r="AW7" s="46"/>
      <c r="AX7" s="46"/>
      <c r="AY7" s="46"/>
      <c r="BA7" s="16"/>
      <c r="BB7" s="16"/>
      <c r="BC7" s="16"/>
      <c r="BD7" s="46"/>
      <c r="BE7" s="46"/>
      <c r="BF7" s="46"/>
      <c r="BH7" s="16"/>
      <c r="BI7" s="16"/>
      <c r="BJ7" s="16"/>
      <c r="BK7" s="46"/>
      <c r="BL7" s="46"/>
      <c r="BM7" s="46"/>
    </row>
    <row r="8" s="1" customFormat="1" ht="27" customHeight="1" spans="1:66">
      <c r="A8" s="17" t="s">
        <v>12</v>
      </c>
      <c r="B8" s="18"/>
      <c r="C8" s="18"/>
      <c r="D8" s="18"/>
      <c r="E8" s="18"/>
      <c r="F8" s="18"/>
      <c r="G8" s="18" t="s">
        <v>13</v>
      </c>
      <c r="H8" s="18"/>
      <c r="I8" s="18"/>
      <c r="J8" s="18"/>
      <c r="K8" s="18" t="s">
        <v>47</v>
      </c>
      <c r="L8" s="18"/>
      <c r="M8" s="18"/>
      <c r="N8" s="18"/>
      <c r="O8" s="18"/>
      <c r="P8" s="18"/>
      <c r="Q8" s="18"/>
      <c r="R8" s="18" t="s">
        <v>48</v>
      </c>
      <c r="S8" s="18"/>
      <c r="T8" s="18"/>
      <c r="U8" s="18"/>
      <c r="V8" s="18"/>
      <c r="W8" s="18"/>
      <c r="X8" s="18"/>
      <c r="Y8" s="18" t="s">
        <v>49</v>
      </c>
      <c r="Z8" s="18"/>
      <c r="AA8" s="18"/>
      <c r="AB8" s="18"/>
      <c r="AC8" s="18"/>
      <c r="AD8" s="18"/>
      <c r="AE8" s="18"/>
      <c r="AF8" s="18" t="s">
        <v>47</v>
      </c>
      <c r="AG8" s="18"/>
      <c r="AH8" s="18"/>
      <c r="AI8" s="18"/>
      <c r="AJ8" s="18"/>
      <c r="AK8" s="18"/>
      <c r="AL8" s="18"/>
      <c r="AM8" s="18" t="s">
        <v>48</v>
      </c>
      <c r="AN8" s="18"/>
      <c r="AO8" s="18"/>
      <c r="AP8" s="18"/>
      <c r="AQ8" s="18"/>
      <c r="AR8" s="18"/>
      <c r="AS8" s="64"/>
      <c r="AT8" s="18" t="s">
        <v>49</v>
      </c>
      <c r="AU8" s="18"/>
      <c r="AV8" s="18"/>
      <c r="AW8" s="18"/>
      <c r="AX8" s="18"/>
      <c r="AY8" s="18"/>
      <c r="AZ8" s="64"/>
      <c r="BA8" s="18" t="s">
        <v>50</v>
      </c>
      <c r="BB8" s="18"/>
      <c r="BC8" s="18"/>
      <c r="BD8" s="18"/>
      <c r="BE8" s="18"/>
      <c r="BF8" s="18"/>
      <c r="BG8" s="64"/>
      <c r="BH8" s="18" t="s">
        <v>51</v>
      </c>
      <c r="BI8" s="18"/>
      <c r="BJ8" s="18"/>
      <c r="BK8" s="18"/>
      <c r="BL8" s="18"/>
      <c r="BM8" s="18"/>
      <c r="BN8" s="64"/>
    </row>
    <row r="9" s="1" customFormat="1" ht="27" customHeight="1" spans="1:66">
      <c r="A9" s="19" t="s">
        <v>14</v>
      </c>
      <c r="B9" s="20" t="s">
        <v>42</v>
      </c>
      <c r="C9" s="20" t="s">
        <v>43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53" t="s">
        <v>22</v>
      </c>
      <c r="J9" s="53" t="s">
        <v>23</v>
      </c>
      <c r="K9" s="54" t="str">
        <f>TEXT(K10,"aaa")</f>
        <v>二</v>
      </c>
      <c r="L9" s="54" t="str">
        <f t="shared" ref="L9:BN9" si="1">TEXT(L10,"aaa")</f>
        <v>三</v>
      </c>
      <c r="M9" s="54" t="str">
        <f t="shared" si="1"/>
        <v>四</v>
      </c>
      <c r="N9" s="54" t="str">
        <f t="shared" si="1"/>
        <v>五</v>
      </c>
      <c r="O9" s="54" t="str">
        <f t="shared" si="1"/>
        <v>六</v>
      </c>
      <c r="P9" s="54" t="str">
        <f t="shared" si="1"/>
        <v>日</v>
      </c>
      <c r="Q9" s="54" t="str">
        <f t="shared" si="1"/>
        <v>一</v>
      </c>
      <c r="R9" s="54" t="str">
        <f t="shared" si="1"/>
        <v>二</v>
      </c>
      <c r="S9" s="54" t="str">
        <f t="shared" si="1"/>
        <v>三</v>
      </c>
      <c r="T9" s="54" t="str">
        <f t="shared" si="1"/>
        <v>四</v>
      </c>
      <c r="U9" s="54" t="str">
        <f t="shared" si="1"/>
        <v>五</v>
      </c>
      <c r="V9" s="54" t="str">
        <f t="shared" si="1"/>
        <v>六</v>
      </c>
      <c r="W9" s="54" t="str">
        <f t="shared" si="1"/>
        <v>日</v>
      </c>
      <c r="X9" s="54" t="str">
        <f t="shared" si="1"/>
        <v>一</v>
      </c>
      <c r="Y9" s="54" t="str">
        <f t="shared" si="1"/>
        <v>二</v>
      </c>
      <c r="Z9" s="54" t="str">
        <f t="shared" si="1"/>
        <v>三</v>
      </c>
      <c r="AA9" s="54" t="str">
        <f t="shared" si="1"/>
        <v>四</v>
      </c>
      <c r="AB9" s="54" t="str">
        <f t="shared" si="1"/>
        <v>五</v>
      </c>
      <c r="AC9" s="54" t="str">
        <f t="shared" si="1"/>
        <v>六</v>
      </c>
      <c r="AD9" s="54" t="str">
        <f t="shared" si="1"/>
        <v>日</v>
      </c>
      <c r="AE9" s="54" t="str">
        <f t="shared" si="1"/>
        <v>一</v>
      </c>
      <c r="AF9" s="54" t="str">
        <f t="shared" si="1"/>
        <v>二</v>
      </c>
      <c r="AG9" s="54" t="str">
        <f t="shared" si="1"/>
        <v>三</v>
      </c>
      <c r="AH9" s="54" t="str">
        <f t="shared" si="1"/>
        <v>四</v>
      </c>
      <c r="AI9" s="54" t="str">
        <f t="shared" si="1"/>
        <v>五</v>
      </c>
      <c r="AJ9" s="54" t="str">
        <f t="shared" si="1"/>
        <v>六</v>
      </c>
      <c r="AK9" s="54" t="str">
        <f t="shared" si="1"/>
        <v>日</v>
      </c>
      <c r="AL9" s="54" t="str">
        <f t="shared" si="1"/>
        <v>一</v>
      </c>
      <c r="AM9" s="54" t="str">
        <f t="shared" si="1"/>
        <v>二</v>
      </c>
      <c r="AN9" s="54" t="str">
        <f t="shared" si="1"/>
        <v>三</v>
      </c>
      <c r="AO9" s="65" t="str">
        <f t="shared" si="1"/>
        <v>四</v>
      </c>
      <c r="AP9" s="65" t="str">
        <f t="shared" si="1"/>
        <v>五</v>
      </c>
      <c r="AQ9" s="65" t="str">
        <f t="shared" si="1"/>
        <v>六</v>
      </c>
      <c r="AR9" s="65" t="str">
        <f t="shared" si="1"/>
        <v>日</v>
      </c>
      <c r="AS9" s="66" t="str">
        <f t="shared" si="1"/>
        <v>一</v>
      </c>
      <c r="AT9" s="54" t="str">
        <f t="shared" si="1"/>
        <v>二</v>
      </c>
      <c r="AU9" s="54" t="str">
        <f t="shared" si="1"/>
        <v>三</v>
      </c>
      <c r="AV9" s="65" t="str">
        <f t="shared" si="1"/>
        <v>四</v>
      </c>
      <c r="AW9" s="65" t="str">
        <f t="shared" si="1"/>
        <v>五</v>
      </c>
      <c r="AX9" s="65" t="str">
        <f t="shared" si="1"/>
        <v>六</v>
      </c>
      <c r="AY9" s="65" t="str">
        <f t="shared" si="1"/>
        <v>日</v>
      </c>
      <c r="AZ9" s="66" t="str">
        <f t="shared" si="1"/>
        <v>一</v>
      </c>
      <c r="BA9" s="54" t="str">
        <f t="shared" si="1"/>
        <v>二</v>
      </c>
      <c r="BB9" s="54" t="str">
        <f t="shared" si="1"/>
        <v>三</v>
      </c>
      <c r="BC9" s="65" t="str">
        <f t="shared" si="1"/>
        <v>四</v>
      </c>
      <c r="BD9" s="65" t="str">
        <f t="shared" si="1"/>
        <v>五</v>
      </c>
      <c r="BE9" s="65" t="str">
        <f t="shared" si="1"/>
        <v>六</v>
      </c>
      <c r="BF9" s="65" t="str">
        <f t="shared" si="1"/>
        <v>日</v>
      </c>
      <c r="BG9" s="66" t="str">
        <f t="shared" si="1"/>
        <v>一</v>
      </c>
      <c r="BH9" s="54" t="str">
        <f t="shared" si="1"/>
        <v>二</v>
      </c>
      <c r="BI9" s="54" t="str">
        <f t="shared" si="1"/>
        <v>三</v>
      </c>
      <c r="BJ9" s="65" t="str">
        <f t="shared" si="1"/>
        <v>四</v>
      </c>
      <c r="BK9" s="65" t="str">
        <f t="shared" si="1"/>
        <v>五</v>
      </c>
      <c r="BL9" s="65" t="str">
        <f t="shared" si="1"/>
        <v>六</v>
      </c>
      <c r="BM9" s="65" t="str">
        <f t="shared" si="1"/>
        <v>日</v>
      </c>
      <c r="BN9" s="66" t="str">
        <f t="shared" si="1"/>
        <v>一</v>
      </c>
    </row>
    <row r="10" s="1" customFormat="1" ht="27" customHeight="1" spans="1:66">
      <c r="A10" s="21"/>
      <c r="B10" s="22"/>
      <c r="C10" s="22"/>
      <c r="D10" s="22"/>
      <c r="E10" s="22"/>
      <c r="F10" s="22"/>
      <c r="G10" s="22"/>
      <c r="H10" s="22"/>
      <c r="I10" s="22"/>
      <c r="J10" s="55"/>
      <c r="K10" s="56">
        <f>DATE(B2,B3,1)</f>
        <v>45748</v>
      </c>
      <c r="L10" s="56">
        <f>K10+1</f>
        <v>45749</v>
      </c>
      <c r="M10" s="56">
        <f t="shared" ref="M10:AO10" si="2">L10+1</f>
        <v>45750</v>
      </c>
      <c r="N10" s="56">
        <f t="shared" si="2"/>
        <v>45751</v>
      </c>
      <c r="O10" s="56">
        <f t="shared" si="2"/>
        <v>45752</v>
      </c>
      <c r="P10" s="56">
        <f t="shared" si="2"/>
        <v>45753</v>
      </c>
      <c r="Q10" s="56">
        <f t="shared" si="2"/>
        <v>45754</v>
      </c>
      <c r="R10" s="56">
        <f t="shared" si="2"/>
        <v>45755</v>
      </c>
      <c r="S10" s="56">
        <f t="shared" si="2"/>
        <v>45756</v>
      </c>
      <c r="T10" s="56">
        <f t="shared" si="2"/>
        <v>45757</v>
      </c>
      <c r="U10" s="56">
        <f t="shared" si="2"/>
        <v>45758</v>
      </c>
      <c r="V10" s="56">
        <f t="shared" si="2"/>
        <v>45759</v>
      </c>
      <c r="W10" s="56">
        <f t="shared" si="2"/>
        <v>45760</v>
      </c>
      <c r="X10" s="56">
        <f t="shared" si="2"/>
        <v>45761</v>
      </c>
      <c r="Y10" s="56">
        <f t="shared" si="2"/>
        <v>45762</v>
      </c>
      <c r="Z10" s="56">
        <f t="shared" si="2"/>
        <v>45763</v>
      </c>
      <c r="AA10" s="56">
        <f t="shared" si="2"/>
        <v>45764</v>
      </c>
      <c r="AB10" s="56">
        <f t="shared" si="2"/>
        <v>45765</v>
      </c>
      <c r="AC10" s="56">
        <f t="shared" si="2"/>
        <v>45766</v>
      </c>
      <c r="AD10" s="56">
        <f t="shared" si="2"/>
        <v>45767</v>
      </c>
      <c r="AE10" s="56">
        <f t="shared" si="2"/>
        <v>45768</v>
      </c>
      <c r="AF10" s="56">
        <f t="shared" si="2"/>
        <v>45769</v>
      </c>
      <c r="AG10" s="56">
        <f t="shared" si="2"/>
        <v>45770</v>
      </c>
      <c r="AH10" s="56">
        <f t="shared" si="2"/>
        <v>45771</v>
      </c>
      <c r="AI10" s="56">
        <f t="shared" si="2"/>
        <v>45772</v>
      </c>
      <c r="AJ10" s="56">
        <f t="shared" si="2"/>
        <v>45773</v>
      </c>
      <c r="AK10" s="56">
        <f t="shared" si="2"/>
        <v>45774</v>
      </c>
      <c r="AL10" s="56">
        <f t="shared" si="2"/>
        <v>45775</v>
      </c>
      <c r="AM10" s="56">
        <f t="shared" si="2"/>
        <v>45776</v>
      </c>
      <c r="AN10" s="56">
        <f t="shared" si="2"/>
        <v>45777</v>
      </c>
      <c r="AO10" s="67">
        <f t="shared" si="2"/>
        <v>45778</v>
      </c>
      <c r="AP10" s="67">
        <f t="shared" ref="AP10" si="3">AO10+1</f>
        <v>45779</v>
      </c>
      <c r="AQ10" s="67">
        <f t="shared" ref="AQ10" si="4">AP10+1</f>
        <v>45780</v>
      </c>
      <c r="AR10" s="67">
        <f t="shared" ref="AR10" si="5">AQ10+1</f>
        <v>45781</v>
      </c>
      <c r="AS10" s="68">
        <f t="shared" ref="AS10:BN10" si="6">AR10+1</f>
        <v>45782</v>
      </c>
      <c r="AT10" s="56">
        <f t="shared" si="6"/>
        <v>45783</v>
      </c>
      <c r="AU10" s="56">
        <f t="shared" si="6"/>
        <v>45784</v>
      </c>
      <c r="AV10" s="67">
        <f t="shared" si="6"/>
        <v>45785</v>
      </c>
      <c r="AW10" s="67">
        <f t="shared" si="6"/>
        <v>45786</v>
      </c>
      <c r="AX10" s="67">
        <f t="shared" si="6"/>
        <v>45787</v>
      </c>
      <c r="AY10" s="67">
        <f t="shared" si="6"/>
        <v>45788</v>
      </c>
      <c r="AZ10" s="68">
        <f t="shared" si="6"/>
        <v>45789</v>
      </c>
      <c r="BA10" s="56">
        <f t="shared" si="6"/>
        <v>45790</v>
      </c>
      <c r="BB10" s="56">
        <f t="shared" si="6"/>
        <v>45791</v>
      </c>
      <c r="BC10" s="67">
        <f t="shared" si="6"/>
        <v>45792</v>
      </c>
      <c r="BD10" s="67">
        <f t="shared" si="6"/>
        <v>45793</v>
      </c>
      <c r="BE10" s="67">
        <f t="shared" si="6"/>
        <v>45794</v>
      </c>
      <c r="BF10" s="67">
        <f t="shared" si="6"/>
        <v>45795</v>
      </c>
      <c r="BG10" s="68">
        <f t="shared" si="6"/>
        <v>45796</v>
      </c>
      <c r="BH10" s="56">
        <f t="shared" si="6"/>
        <v>45797</v>
      </c>
      <c r="BI10" s="56">
        <f t="shared" si="6"/>
        <v>45798</v>
      </c>
      <c r="BJ10" s="67">
        <f t="shared" si="6"/>
        <v>45799</v>
      </c>
      <c r="BK10" s="67">
        <f t="shared" si="6"/>
        <v>45800</v>
      </c>
      <c r="BL10" s="67">
        <f t="shared" si="6"/>
        <v>45801</v>
      </c>
      <c r="BM10" s="67">
        <f t="shared" si="6"/>
        <v>45802</v>
      </c>
      <c r="BN10" s="68">
        <f t="shared" si="6"/>
        <v>45803</v>
      </c>
    </row>
    <row r="11" s="1" customFormat="1" ht="27" customHeight="1" spans="1:66">
      <c r="A11" s="23">
        <v>1</v>
      </c>
      <c r="B11" s="24" t="s">
        <v>44</v>
      </c>
      <c r="C11" s="25" t="s">
        <v>59</v>
      </c>
      <c r="D11" s="25"/>
      <c r="E11" s="25"/>
      <c r="F11" s="25"/>
      <c r="G11" s="25"/>
      <c r="H11" s="25"/>
      <c r="I11" s="25"/>
      <c r="J11" s="57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69"/>
      <c r="AP11" s="70"/>
      <c r="AQ11" s="70"/>
      <c r="AR11" s="70"/>
      <c r="AS11" s="71"/>
      <c r="AT11" s="58"/>
      <c r="AU11" s="58"/>
      <c r="AV11" s="69"/>
      <c r="AW11" s="70"/>
      <c r="AX11" s="70"/>
      <c r="AY11" s="70"/>
      <c r="AZ11" s="71"/>
      <c r="BA11" s="58"/>
      <c r="BB11" s="58"/>
      <c r="BC11" s="69"/>
      <c r="BD11" s="70"/>
      <c r="BE11" s="70"/>
      <c r="BF11" s="70"/>
      <c r="BG11" s="71"/>
      <c r="BH11" s="58"/>
      <c r="BI11" s="58"/>
      <c r="BJ11" s="69"/>
      <c r="BK11" s="70"/>
      <c r="BL11" s="70"/>
      <c r="BM11" s="70"/>
      <c r="BN11" s="71"/>
    </row>
    <row r="12" s="1" customFormat="1" ht="27" customHeight="1" spans="1:66">
      <c r="A12" s="26"/>
      <c r="B12" s="27" t="s">
        <v>46</v>
      </c>
      <c r="C12" s="27" t="s">
        <v>73</v>
      </c>
      <c r="D12" s="28">
        <v>45772</v>
      </c>
      <c r="E12" s="29">
        <v>45774</v>
      </c>
      <c r="F12" s="30" t="str">
        <f>E12-D12+1&amp;"天"</f>
        <v>3天</v>
      </c>
      <c r="G12" s="31">
        <v>0.2</v>
      </c>
      <c r="H12" s="32" t="s">
        <v>7</v>
      </c>
      <c r="I12" s="27" t="str">
        <f>IF(H12="已完成",1,"")</f>
        <v/>
      </c>
      <c r="J12" s="27" t="str">
        <f>IF(AND($B$4&gt;E12,H12&lt;&gt;"已完成"),1,"")</f>
        <v/>
      </c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72"/>
      <c r="AP12" s="72"/>
      <c r="AQ12" s="72"/>
      <c r="AR12" s="72"/>
      <c r="AS12" s="73"/>
      <c r="AT12" s="27"/>
      <c r="AU12" s="27"/>
      <c r="AV12" s="72"/>
      <c r="AW12" s="72"/>
      <c r="AX12" s="72"/>
      <c r="AY12" s="72"/>
      <c r="AZ12" s="73"/>
      <c r="BA12" s="27"/>
      <c r="BB12" s="27"/>
      <c r="BC12" s="72"/>
      <c r="BD12" s="72"/>
      <c r="BE12" s="72"/>
      <c r="BF12" s="72"/>
      <c r="BG12" s="73"/>
      <c r="BH12" s="27"/>
      <c r="BI12" s="27"/>
      <c r="BJ12" s="72"/>
      <c r="BK12" s="72"/>
      <c r="BL12" s="72"/>
      <c r="BM12" s="72"/>
      <c r="BN12" s="73"/>
    </row>
    <row r="13" s="1" customFormat="1" ht="27" customHeight="1" spans="1:66">
      <c r="A13" s="26"/>
      <c r="B13" s="27" t="s">
        <v>46</v>
      </c>
      <c r="C13" s="27" t="s">
        <v>79</v>
      </c>
      <c r="D13" s="28">
        <v>45775</v>
      </c>
      <c r="E13" s="29">
        <v>45774</v>
      </c>
      <c r="F13" s="30" t="str">
        <f>E13-D13+1&amp;"天"</f>
        <v>0天</v>
      </c>
      <c r="G13" s="31">
        <v>0.2</v>
      </c>
      <c r="H13" s="32" t="s">
        <v>7</v>
      </c>
      <c r="I13" s="27" t="str">
        <f>IF(H13="已完成",1,"")</f>
        <v/>
      </c>
      <c r="J13" s="27" t="str">
        <f>IF(AND($B$4&gt;E13,H13&lt;&gt;"已完成"),1,"")</f>
        <v/>
      </c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72"/>
      <c r="AP13" s="72"/>
      <c r="AQ13" s="72"/>
      <c r="AR13" s="72"/>
      <c r="AS13" s="73"/>
      <c r="AT13" s="27"/>
      <c r="AU13" s="27"/>
      <c r="AV13" s="72"/>
      <c r="AW13" s="72"/>
      <c r="AX13" s="72"/>
      <c r="AY13" s="72"/>
      <c r="AZ13" s="73"/>
      <c r="BA13" s="27"/>
      <c r="BB13" s="27"/>
      <c r="BC13" s="72"/>
      <c r="BD13" s="72"/>
      <c r="BE13" s="72"/>
      <c r="BF13" s="72"/>
      <c r="BG13" s="73"/>
      <c r="BH13" s="27"/>
      <c r="BI13" s="27"/>
      <c r="BJ13" s="72"/>
      <c r="BK13" s="72"/>
      <c r="BL13" s="72"/>
      <c r="BM13" s="72"/>
      <c r="BN13" s="73"/>
    </row>
    <row r="14" s="1" customFormat="1" ht="27" customHeight="1" spans="1:66">
      <c r="A14" s="26"/>
      <c r="B14" s="27" t="s">
        <v>46</v>
      </c>
      <c r="C14" s="27" t="s">
        <v>80</v>
      </c>
      <c r="D14" s="28">
        <v>45775</v>
      </c>
      <c r="E14" s="29">
        <v>45783</v>
      </c>
      <c r="F14" s="30" t="str">
        <f>E14-D14+1&amp;"天"</f>
        <v>9天</v>
      </c>
      <c r="G14" s="31">
        <v>1</v>
      </c>
      <c r="H14" s="32" t="s">
        <v>9</v>
      </c>
      <c r="I14" s="27">
        <f>IF(H14="已完成",1,"")</f>
        <v>1</v>
      </c>
      <c r="J14" s="27" t="str">
        <f>IF(AND($B$4&gt;E14,H14&lt;&gt;"已完成"),1,"")</f>
        <v/>
      </c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72"/>
      <c r="AP14" s="72"/>
      <c r="AQ14" s="72"/>
      <c r="AR14" s="72"/>
      <c r="AS14" s="74"/>
      <c r="AT14" s="27"/>
      <c r="AU14" s="27"/>
      <c r="AV14" s="72"/>
      <c r="AW14" s="72"/>
      <c r="AX14" s="72"/>
      <c r="AY14" s="72"/>
      <c r="AZ14" s="74"/>
      <c r="BA14" s="27"/>
      <c r="BB14" s="27"/>
      <c r="BC14" s="72"/>
      <c r="BD14" s="72"/>
      <c r="BE14" s="72"/>
      <c r="BF14" s="72"/>
      <c r="BG14" s="74"/>
      <c r="BH14" s="27"/>
      <c r="BI14" s="27"/>
      <c r="BJ14" s="72"/>
      <c r="BK14" s="72"/>
      <c r="BL14" s="72"/>
      <c r="BM14" s="72"/>
      <c r="BN14" s="74"/>
    </row>
    <row r="15" s="1" customFormat="1" ht="27" customHeight="1" spans="1:66">
      <c r="A15" s="26"/>
      <c r="B15" s="27" t="s">
        <v>46</v>
      </c>
      <c r="C15" s="27" t="s">
        <v>56</v>
      </c>
      <c r="D15" s="28">
        <v>45783</v>
      </c>
      <c r="E15" s="29">
        <v>45794</v>
      </c>
      <c r="F15" s="30" t="str">
        <f>E15-D15+1&amp;"天"</f>
        <v>12天</v>
      </c>
      <c r="G15" s="31">
        <v>0.15</v>
      </c>
      <c r="H15" s="32" t="s">
        <v>7</v>
      </c>
      <c r="I15" s="27" t="str">
        <f>IF(H15="已完成",1,"")</f>
        <v/>
      </c>
      <c r="J15" s="27" t="str">
        <f>IF(AND($B$4&gt;E15,H15&lt;&gt;"已完成"),1,"")</f>
        <v/>
      </c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72"/>
      <c r="AP15" s="72"/>
      <c r="AQ15" s="72"/>
      <c r="AR15" s="72"/>
      <c r="AS15" s="74"/>
      <c r="AT15" s="27"/>
      <c r="AU15" s="27"/>
      <c r="AV15" s="72"/>
      <c r="AW15" s="72"/>
      <c r="AX15" s="72"/>
      <c r="AY15" s="72"/>
      <c r="AZ15" s="74"/>
      <c r="BA15" s="27"/>
      <c r="BB15" s="27"/>
      <c r="BC15" s="72"/>
      <c r="BD15" s="72"/>
      <c r="BE15" s="72"/>
      <c r="BF15" s="72"/>
      <c r="BG15" s="74"/>
      <c r="BH15" s="27"/>
      <c r="BI15" s="27"/>
      <c r="BJ15" s="72"/>
      <c r="BK15" s="72"/>
      <c r="BL15" s="72"/>
      <c r="BM15" s="72"/>
      <c r="BN15" s="74"/>
    </row>
    <row r="16" s="1" customFormat="1" ht="27" customHeight="1" spans="1:66">
      <c r="A16" s="33"/>
      <c r="B16" s="34" t="s">
        <v>46</v>
      </c>
      <c r="C16" s="34" t="s">
        <v>81</v>
      </c>
      <c r="D16" s="35">
        <v>45797</v>
      </c>
      <c r="E16" s="36">
        <v>45798</v>
      </c>
      <c r="F16" s="37" t="str">
        <f>E16-D16+1&amp;"天"</f>
        <v>2天</v>
      </c>
      <c r="G16" s="38">
        <v>0</v>
      </c>
      <c r="H16" s="39" t="s">
        <v>5</v>
      </c>
      <c r="I16" s="34" t="str">
        <f>IF(H16="已完成",1,"")</f>
        <v/>
      </c>
      <c r="J16" s="34" t="str">
        <f>IF(AND($B$4&gt;E16,H16&lt;&gt;"已完成"),1,"")</f>
        <v/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75"/>
      <c r="AP16" s="75"/>
      <c r="AQ16" s="75"/>
      <c r="AR16" s="75"/>
      <c r="AS16" s="76"/>
      <c r="AT16" s="34"/>
      <c r="AU16" s="34"/>
      <c r="AV16" s="75"/>
      <c r="AW16" s="75"/>
      <c r="AX16" s="75"/>
      <c r="AY16" s="75"/>
      <c r="AZ16" s="76"/>
      <c r="BA16" s="34"/>
      <c r="BB16" s="34"/>
      <c r="BC16" s="75"/>
      <c r="BD16" s="75"/>
      <c r="BE16" s="75"/>
      <c r="BF16" s="75"/>
      <c r="BG16" s="76"/>
      <c r="BH16" s="34"/>
      <c r="BI16" s="34"/>
      <c r="BJ16" s="75"/>
      <c r="BK16" s="75"/>
      <c r="BL16" s="75"/>
      <c r="BM16" s="75"/>
      <c r="BN16" s="76"/>
    </row>
    <row r="17" s="1" customFormat="1" ht="27" customHeight="1" spans="1:66">
      <c r="A17" s="23">
        <v>2</v>
      </c>
      <c r="B17" s="24" t="s">
        <v>44</v>
      </c>
      <c r="C17" s="24" t="s">
        <v>82</v>
      </c>
      <c r="D17" s="40"/>
      <c r="E17" s="41"/>
      <c r="F17" s="42"/>
      <c r="G17" s="43"/>
      <c r="H17" s="4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77"/>
      <c r="AP17" s="70"/>
      <c r="AQ17" s="70"/>
      <c r="AR17" s="70"/>
      <c r="AS17" s="71"/>
      <c r="AT17" s="24"/>
      <c r="AU17" s="24"/>
      <c r="AV17" s="77"/>
      <c r="AW17" s="70"/>
      <c r="AX17" s="70"/>
      <c r="AY17" s="70"/>
      <c r="AZ17" s="71"/>
      <c r="BA17" s="24"/>
      <c r="BB17" s="24"/>
      <c r="BC17" s="77"/>
      <c r="BD17" s="70"/>
      <c r="BE17" s="70"/>
      <c r="BF17" s="70"/>
      <c r="BG17" s="71"/>
      <c r="BH17" s="24"/>
      <c r="BI17" s="24"/>
      <c r="BJ17" s="77"/>
      <c r="BK17" s="70"/>
      <c r="BL17" s="70"/>
      <c r="BM17" s="70"/>
      <c r="BN17" s="71"/>
    </row>
    <row r="18" s="1" customFormat="1" ht="27" customHeight="1" spans="1:66">
      <c r="A18" s="26"/>
      <c r="B18" s="27" t="s">
        <v>46</v>
      </c>
      <c r="C18" s="27" t="s">
        <v>83</v>
      </c>
      <c r="D18" s="28">
        <v>45772</v>
      </c>
      <c r="E18" s="28">
        <v>45783</v>
      </c>
      <c r="F18" s="30" t="str">
        <f t="shared" ref="F18:F22" si="7">E18-D18+1&amp;"天"</f>
        <v>12天</v>
      </c>
      <c r="G18" s="31">
        <v>1</v>
      </c>
      <c r="H18" s="32" t="s">
        <v>9</v>
      </c>
      <c r="I18" s="27">
        <f t="shared" ref="I18:I22" si="8">IF(H18="已完成",1,"")</f>
        <v>1</v>
      </c>
      <c r="J18" s="27" t="str">
        <f>IF(AND($B$4&gt;E18,H18&lt;&gt;"已完成"),1,"")</f>
        <v/>
      </c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72"/>
      <c r="AP18" s="72"/>
      <c r="AQ18" s="72"/>
      <c r="AR18" s="72"/>
      <c r="AS18" s="74"/>
      <c r="AT18" s="27"/>
      <c r="AU18" s="27"/>
      <c r="AV18" s="72"/>
      <c r="AW18" s="72"/>
      <c r="AX18" s="72"/>
      <c r="AY18" s="72"/>
      <c r="AZ18" s="74"/>
      <c r="BA18" s="27"/>
      <c r="BB18" s="27"/>
      <c r="BC18" s="72"/>
      <c r="BD18" s="72"/>
      <c r="BE18" s="72"/>
      <c r="BF18" s="72"/>
      <c r="BG18" s="74"/>
      <c r="BH18" s="27"/>
      <c r="BI18" s="27"/>
      <c r="BJ18" s="72"/>
      <c r="BK18" s="72"/>
      <c r="BL18" s="72"/>
      <c r="BM18" s="72"/>
      <c r="BN18" s="74"/>
    </row>
    <row r="19" s="1" customFormat="1" ht="27" customHeight="1" spans="1:66">
      <c r="A19" s="26"/>
      <c r="B19" s="27" t="s">
        <v>46</v>
      </c>
      <c r="C19" s="27" t="s">
        <v>61</v>
      </c>
      <c r="D19" s="28">
        <v>45783</v>
      </c>
      <c r="E19" s="28">
        <v>45788</v>
      </c>
      <c r="F19" s="30" t="str">
        <f t="shared" si="7"/>
        <v>6天</v>
      </c>
      <c r="G19" s="31">
        <v>0.2</v>
      </c>
      <c r="H19" s="32" t="s">
        <v>7</v>
      </c>
      <c r="I19" s="27" t="str">
        <f t="shared" si="8"/>
        <v/>
      </c>
      <c r="J19" s="27" t="str">
        <f>IF(AND($B$4&gt;E19,H19&lt;&gt;"已完成"),1,"")</f>
        <v/>
      </c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72"/>
      <c r="AP19" s="72"/>
      <c r="AQ19" s="72"/>
      <c r="AR19" s="72"/>
      <c r="AS19" s="74"/>
      <c r="AT19" s="27"/>
      <c r="AU19" s="27"/>
      <c r="AV19" s="72"/>
      <c r="AW19" s="72"/>
      <c r="AX19" s="72"/>
      <c r="AY19" s="72"/>
      <c r="AZ19" s="74"/>
      <c r="BA19" s="27"/>
      <c r="BB19" s="27"/>
      <c r="BC19" s="72"/>
      <c r="BD19" s="72"/>
      <c r="BE19" s="72"/>
      <c r="BF19" s="72"/>
      <c r="BG19" s="74"/>
      <c r="BH19" s="27"/>
      <c r="BI19" s="27"/>
      <c r="BJ19" s="72"/>
      <c r="BK19" s="72"/>
      <c r="BL19" s="72"/>
      <c r="BM19" s="72"/>
      <c r="BN19" s="74"/>
    </row>
    <row r="20" s="1" customFormat="1" ht="27" customHeight="1" spans="1:66">
      <c r="A20" s="26"/>
      <c r="B20" s="27" t="s">
        <v>46</v>
      </c>
      <c r="C20" s="27" t="s">
        <v>84</v>
      </c>
      <c r="D20" s="28">
        <v>45789</v>
      </c>
      <c r="E20" s="28">
        <v>45794</v>
      </c>
      <c r="F20" s="30" t="str">
        <f t="shared" si="7"/>
        <v>6天</v>
      </c>
      <c r="G20" s="31">
        <v>0</v>
      </c>
      <c r="H20" s="32" t="s">
        <v>5</v>
      </c>
      <c r="I20" s="27" t="str">
        <f t="shared" si="8"/>
        <v/>
      </c>
      <c r="J20" s="27" t="str">
        <f>IF(AND($B$4&gt;E20,H20&lt;&gt;"已完成"),1,"")</f>
        <v/>
      </c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72"/>
      <c r="AP20" s="72"/>
      <c r="AQ20" s="72"/>
      <c r="AR20" s="72"/>
      <c r="AS20" s="74"/>
      <c r="AT20" s="27"/>
      <c r="AU20" s="27"/>
      <c r="AV20" s="72"/>
      <c r="AW20" s="72"/>
      <c r="AX20" s="72"/>
      <c r="AY20" s="72"/>
      <c r="AZ20" s="74"/>
      <c r="BA20" s="27"/>
      <c r="BB20" s="27"/>
      <c r="BC20" s="72"/>
      <c r="BD20" s="72"/>
      <c r="BE20" s="72"/>
      <c r="BF20" s="72"/>
      <c r="BG20" s="74"/>
      <c r="BH20" s="27"/>
      <c r="BI20" s="27"/>
      <c r="BJ20" s="72"/>
      <c r="BK20" s="72"/>
      <c r="BL20" s="72"/>
      <c r="BM20" s="72"/>
      <c r="BN20" s="74"/>
    </row>
    <row r="21" s="1" customFormat="1" ht="27" customHeight="1" spans="1:66">
      <c r="A21" s="33"/>
      <c r="B21" s="34" t="s">
        <v>46</v>
      </c>
      <c r="C21" s="34" t="s">
        <v>62</v>
      </c>
      <c r="D21" s="35">
        <v>45789</v>
      </c>
      <c r="E21" s="35">
        <v>45794</v>
      </c>
      <c r="F21" s="37" t="str">
        <f t="shared" si="7"/>
        <v>6天</v>
      </c>
      <c r="G21" s="38">
        <v>0.8</v>
      </c>
      <c r="H21" s="39" t="s">
        <v>7</v>
      </c>
      <c r="I21" s="34" t="str">
        <f t="shared" si="8"/>
        <v/>
      </c>
      <c r="J21" s="34" t="str">
        <f>IF(AND($B$4&gt;E21,H21&lt;&gt;"已完成"),1,"")</f>
        <v/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75"/>
      <c r="AP21" s="75"/>
      <c r="AQ21" s="75"/>
      <c r="AR21" s="75"/>
      <c r="AS21" s="76"/>
      <c r="AT21" s="34"/>
      <c r="AU21" s="34"/>
      <c r="AV21" s="75"/>
      <c r="AW21" s="75"/>
      <c r="AX21" s="75"/>
      <c r="AY21" s="75"/>
      <c r="AZ21" s="76"/>
      <c r="BA21" s="34"/>
      <c r="BB21" s="34"/>
      <c r="BC21" s="75"/>
      <c r="BD21" s="75"/>
      <c r="BE21" s="75"/>
      <c r="BF21" s="75"/>
      <c r="BG21" s="76"/>
      <c r="BH21" s="34"/>
      <c r="BI21" s="34"/>
      <c r="BJ21" s="75"/>
      <c r="BK21" s="75"/>
      <c r="BL21" s="75"/>
      <c r="BM21" s="75"/>
      <c r="BN21" s="76"/>
    </row>
    <row r="22" s="1" customFormat="1" ht="27" customHeight="1" spans="1:66">
      <c r="A22" s="33"/>
      <c r="B22" s="34" t="s">
        <v>46</v>
      </c>
      <c r="C22" s="34" t="s">
        <v>63</v>
      </c>
      <c r="D22" s="35">
        <v>45789</v>
      </c>
      <c r="E22" s="35">
        <v>45794</v>
      </c>
      <c r="F22" s="37" t="str">
        <f t="shared" si="7"/>
        <v>6天</v>
      </c>
      <c r="G22" s="38">
        <v>0.8</v>
      </c>
      <c r="H22" s="39" t="s">
        <v>7</v>
      </c>
      <c r="I22" s="34" t="str">
        <f t="shared" si="8"/>
        <v/>
      </c>
      <c r="J22" s="34" t="str">
        <f>IF(AND($B$4&gt;E22,H22&lt;&gt;"已完成"),1,"")</f>
        <v/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75"/>
      <c r="AP22" s="75"/>
      <c r="AQ22" s="75"/>
      <c r="AR22" s="75"/>
      <c r="AS22" s="76"/>
      <c r="AT22" s="34"/>
      <c r="AU22" s="34"/>
      <c r="AV22" s="75"/>
      <c r="AW22" s="75"/>
      <c r="AX22" s="75"/>
      <c r="AY22" s="75"/>
      <c r="AZ22" s="76"/>
      <c r="BA22" s="34"/>
      <c r="BB22" s="34"/>
      <c r="BC22" s="75"/>
      <c r="BD22" s="75"/>
      <c r="BE22" s="75"/>
      <c r="BF22" s="75"/>
      <c r="BG22" s="76"/>
      <c r="BH22" s="34"/>
      <c r="BI22" s="34"/>
      <c r="BJ22" s="75"/>
      <c r="BK22" s="75"/>
      <c r="BL22" s="75"/>
      <c r="BM22" s="75"/>
      <c r="BN22" s="76"/>
    </row>
    <row r="23" s="2" customFormat="1" ht="27" customHeight="1" spans="1:66">
      <c r="A23" s="23">
        <v>3</v>
      </c>
      <c r="B23" s="24" t="s">
        <v>44</v>
      </c>
      <c r="C23" s="24" t="s">
        <v>85</v>
      </c>
      <c r="D23" s="40"/>
      <c r="E23" s="40"/>
      <c r="F23" s="42"/>
      <c r="G23" s="43"/>
      <c r="H23" s="4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77"/>
      <c r="AP23" s="77"/>
      <c r="AQ23" s="77"/>
      <c r="AR23" s="77"/>
      <c r="AS23" s="78"/>
      <c r="AT23" s="24"/>
      <c r="AU23" s="24"/>
      <c r="AV23" s="77"/>
      <c r="AW23" s="77"/>
      <c r="AX23" s="77"/>
      <c r="AY23" s="77"/>
      <c r="AZ23" s="78"/>
      <c r="BA23" s="24"/>
      <c r="BB23" s="24"/>
      <c r="BC23" s="77"/>
      <c r="BD23" s="77"/>
      <c r="BE23" s="77"/>
      <c r="BF23" s="77"/>
      <c r="BG23" s="78"/>
      <c r="BH23" s="24"/>
      <c r="BI23" s="24"/>
      <c r="BJ23" s="77"/>
      <c r="BK23" s="77"/>
      <c r="BL23" s="77"/>
      <c r="BM23" s="77"/>
      <c r="BN23" s="78"/>
    </row>
    <row r="24" s="1" customFormat="1" ht="27" customHeight="1" spans="1:66">
      <c r="A24" s="26"/>
      <c r="B24" s="27" t="s">
        <v>46</v>
      </c>
      <c r="C24" s="27" t="s">
        <v>34</v>
      </c>
      <c r="D24" s="28">
        <v>45537</v>
      </c>
      <c r="E24" s="28">
        <v>45545</v>
      </c>
      <c r="F24" s="30" t="str">
        <f t="shared" ref="F23:F32" si="9">E24-D24+1&amp;"天"</f>
        <v>9天</v>
      </c>
      <c r="G24" s="31">
        <v>0.3</v>
      </c>
      <c r="H24" s="32" t="s">
        <v>7</v>
      </c>
      <c r="I24" s="27" t="str">
        <f t="shared" ref="I23:I32" si="10">IF(H24="已完成",1,"")</f>
        <v/>
      </c>
      <c r="J24" s="27">
        <f t="shared" ref="J23:J32" si="11">IF(AND($B$4&gt;E24,H24&lt;&gt;"已完成"),1,"")</f>
        <v>1</v>
      </c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72"/>
      <c r="AP24" s="72"/>
      <c r="AQ24" s="72"/>
      <c r="AR24" s="72"/>
      <c r="AS24" s="74"/>
      <c r="AT24" s="27"/>
      <c r="AU24" s="27"/>
      <c r="AV24" s="72"/>
      <c r="AW24" s="72"/>
      <c r="AX24" s="72"/>
      <c r="AY24" s="72"/>
      <c r="AZ24" s="74"/>
      <c r="BA24" s="27"/>
      <c r="BB24" s="27"/>
      <c r="BC24" s="72"/>
      <c r="BD24" s="72"/>
      <c r="BE24" s="72"/>
      <c r="BF24" s="72"/>
      <c r="BG24" s="74"/>
      <c r="BH24" s="27"/>
      <c r="BI24" s="27"/>
      <c r="BJ24" s="72"/>
      <c r="BK24" s="72"/>
      <c r="BL24" s="72"/>
      <c r="BM24" s="72"/>
      <c r="BN24" s="74"/>
    </row>
    <row r="25" s="1" customFormat="1" ht="27" customHeight="1" spans="1:66">
      <c r="A25" s="26"/>
      <c r="B25" s="27" t="s">
        <v>46</v>
      </c>
      <c r="C25" s="27" t="s">
        <v>35</v>
      </c>
      <c r="D25" s="28">
        <v>45543</v>
      </c>
      <c r="E25" s="28">
        <v>45560</v>
      </c>
      <c r="F25" s="30" t="str">
        <f t="shared" si="9"/>
        <v>18天</v>
      </c>
      <c r="G25" s="31">
        <v>0.1</v>
      </c>
      <c r="H25" s="32" t="s">
        <v>7</v>
      </c>
      <c r="I25" s="27" t="str">
        <f t="shared" si="10"/>
        <v/>
      </c>
      <c r="J25" s="27">
        <f t="shared" si="11"/>
        <v>1</v>
      </c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72"/>
      <c r="AP25" s="72"/>
      <c r="AQ25" s="72"/>
      <c r="AR25" s="72"/>
      <c r="AS25" s="74"/>
      <c r="AT25" s="27"/>
      <c r="AU25" s="27"/>
      <c r="AV25" s="72"/>
      <c r="AW25" s="72"/>
      <c r="AX25" s="72"/>
      <c r="AY25" s="72"/>
      <c r="AZ25" s="74"/>
      <c r="BA25" s="27"/>
      <c r="BB25" s="27"/>
      <c r="BC25" s="72"/>
      <c r="BD25" s="72"/>
      <c r="BE25" s="72"/>
      <c r="BF25" s="72"/>
      <c r="BG25" s="74"/>
      <c r="BH25" s="27"/>
      <c r="BI25" s="27"/>
      <c r="BJ25" s="72"/>
      <c r="BK25" s="72"/>
      <c r="BL25" s="72"/>
      <c r="BM25" s="72"/>
      <c r="BN25" s="74"/>
    </row>
    <row r="26" s="1" customFormat="1" ht="27" customHeight="1" spans="1:66">
      <c r="A26" s="26"/>
      <c r="B26" s="27" t="s">
        <v>46</v>
      </c>
      <c r="C26" s="27" t="s">
        <v>36</v>
      </c>
      <c r="D26" s="28">
        <v>45536</v>
      </c>
      <c r="E26" s="28">
        <v>45555</v>
      </c>
      <c r="F26" s="30" t="str">
        <f t="shared" si="9"/>
        <v>20天</v>
      </c>
      <c r="G26" s="31">
        <v>1</v>
      </c>
      <c r="H26" s="32" t="s">
        <v>9</v>
      </c>
      <c r="I26" s="27">
        <f t="shared" si="10"/>
        <v>1</v>
      </c>
      <c r="J26" s="27" t="str">
        <f t="shared" si="11"/>
        <v/>
      </c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72"/>
      <c r="AP26" s="72"/>
      <c r="AQ26" s="72"/>
      <c r="AR26" s="72"/>
      <c r="AS26" s="74"/>
      <c r="AT26" s="27"/>
      <c r="AU26" s="27"/>
      <c r="AV26" s="72"/>
      <c r="AW26" s="72"/>
      <c r="AX26" s="72"/>
      <c r="AY26" s="72"/>
      <c r="AZ26" s="74"/>
      <c r="BA26" s="27"/>
      <c r="BB26" s="27"/>
      <c r="BC26" s="72"/>
      <c r="BD26" s="72"/>
      <c r="BE26" s="72"/>
      <c r="BF26" s="72"/>
      <c r="BG26" s="74"/>
      <c r="BH26" s="27"/>
      <c r="BI26" s="27"/>
      <c r="BJ26" s="72"/>
      <c r="BK26" s="72"/>
      <c r="BL26" s="72"/>
      <c r="BM26" s="72"/>
      <c r="BN26" s="74"/>
    </row>
    <row r="27" s="1" customFormat="1" ht="27" customHeight="1" spans="1:66">
      <c r="A27" s="33"/>
      <c r="B27" s="34" t="s">
        <v>46</v>
      </c>
      <c r="C27" s="34" t="s">
        <v>37</v>
      </c>
      <c r="D27" s="35">
        <v>45556</v>
      </c>
      <c r="E27" s="35">
        <v>45565</v>
      </c>
      <c r="F27" s="37" t="str">
        <f t="shared" si="9"/>
        <v>10天</v>
      </c>
      <c r="G27" s="38">
        <v>0</v>
      </c>
      <c r="H27" s="39" t="s">
        <v>5</v>
      </c>
      <c r="I27" s="34" t="str">
        <f t="shared" si="10"/>
        <v/>
      </c>
      <c r="J27" s="34">
        <f t="shared" si="11"/>
        <v>1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75"/>
      <c r="AP27" s="75"/>
      <c r="AQ27" s="75"/>
      <c r="AR27" s="75"/>
      <c r="AS27" s="76"/>
      <c r="AT27" s="34"/>
      <c r="AU27" s="34"/>
      <c r="AV27" s="75"/>
      <c r="AW27" s="75"/>
      <c r="AX27" s="75"/>
      <c r="AY27" s="75"/>
      <c r="AZ27" s="76"/>
      <c r="BA27" s="34"/>
      <c r="BB27" s="34"/>
      <c r="BC27" s="75"/>
      <c r="BD27" s="75"/>
      <c r="BE27" s="75"/>
      <c r="BF27" s="75"/>
      <c r="BG27" s="76"/>
      <c r="BH27" s="34"/>
      <c r="BI27" s="34"/>
      <c r="BJ27" s="75"/>
      <c r="BK27" s="75"/>
      <c r="BL27" s="75"/>
      <c r="BM27" s="75"/>
      <c r="BN27" s="76"/>
    </row>
    <row r="28" s="1" customFormat="1" ht="27" customHeight="1" spans="1:66">
      <c r="A28" s="23">
        <v>4</v>
      </c>
      <c r="B28" s="24" t="s">
        <v>44</v>
      </c>
      <c r="C28" s="24" t="s">
        <v>38</v>
      </c>
      <c r="D28" s="40"/>
      <c r="E28" s="40"/>
      <c r="F28" s="42"/>
      <c r="G28" s="43"/>
      <c r="H28" s="4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77"/>
      <c r="AP28" s="70"/>
      <c r="AQ28" s="70"/>
      <c r="AR28" s="70"/>
      <c r="AS28" s="71"/>
      <c r="AT28" s="24"/>
      <c r="AU28" s="24"/>
      <c r="AV28" s="77"/>
      <c r="AW28" s="70"/>
      <c r="AX28" s="70"/>
      <c r="AY28" s="70"/>
      <c r="AZ28" s="71"/>
      <c r="BA28" s="24"/>
      <c r="BB28" s="24"/>
      <c r="BC28" s="77"/>
      <c r="BD28" s="70"/>
      <c r="BE28" s="70"/>
      <c r="BF28" s="70"/>
      <c r="BG28" s="71"/>
      <c r="BH28" s="24"/>
      <c r="BI28" s="24"/>
      <c r="BJ28" s="77"/>
      <c r="BK28" s="70"/>
      <c r="BL28" s="70"/>
      <c r="BM28" s="70"/>
      <c r="BN28" s="71"/>
    </row>
    <row r="29" s="1" customFormat="1" ht="27" customHeight="1" spans="1:66">
      <c r="A29" s="26"/>
      <c r="B29" s="27" t="s">
        <v>46</v>
      </c>
      <c r="C29" s="27" t="s">
        <v>39</v>
      </c>
      <c r="D29" s="28">
        <v>45532</v>
      </c>
      <c r="E29" s="28">
        <v>45540</v>
      </c>
      <c r="F29" s="30" t="str">
        <f t="shared" si="9"/>
        <v>9天</v>
      </c>
      <c r="G29" s="31">
        <v>1</v>
      </c>
      <c r="H29" s="32" t="s">
        <v>9</v>
      </c>
      <c r="I29" s="27">
        <f t="shared" si="10"/>
        <v>1</v>
      </c>
      <c r="J29" s="27" t="str">
        <f t="shared" si="11"/>
        <v/>
      </c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72"/>
      <c r="AP29" s="72"/>
      <c r="AQ29" s="72"/>
      <c r="AR29" s="72"/>
      <c r="AS29" s="74"/>
      <c r="AT29" s="27"/>
      <c r="AU29" s="27"/>
      <c r="AV29" s="72"/>
      <c r="AW29" s="72"/>
      <c r="AX29" s="72"/>
      <c r="AY29" s="72"/>
      <c r="AZ29" s="74"/>
      <c r="BA29" s="27"/>
      <c r="BB29" s="27"/>
      <c r="BC29" s="72"/>
      <c r="BD29" s="72"/>
      <c r="BE29" s="72"/>
      <c r="BF29" s="72"/>
      <c r="BG29" s="74"/>
      <c r="BH29" s="27"/>
      <c r="BI29" s="27"/>
      <c r="BJ29" s="72"/>
      <c r="BK29" s="72"/>
      <c r="BL29" s="72"/>
      <c r="BM29" s="72"/>
      <c r="BN29" s="74"/>
    </row>
    <row r="30" s="1" customFormat="1" ht="27" customHeight="1" spans="1:66">
      <c r="A30" s="26"/>
      <c r="B30" s="27" t="s">
        <v>46</v>
      </c>
      <c r="C30" s="27" t="s">
        <v>30</v>
      </c>
      <c r="D30" s="28">
        <v>45539</v>
      </c>
      <c r="E30" s="28">
        <v>45553</v>
      </c>
      <c r="F30" s="30" t="str">
        <f t="shared" si="9"/>
        <v>15天</v>
      </c>
      <c r="G30" s="31">
        <v>0.2</v>
      </c>
      <c r="H30" s="32" t="s">
        <v>7</v>
      </c>
      <c r="I30" s="27" t="str">
        <f t="shared" si="10"/>
        <v/>
      </c>
      <c r="J30" s="27">
        <f t="shared" si="11"/>
        <v>1</v>
      </c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72"/>
      <c r="AP30" s="72"/>
      <c r="AQ30" s="72"/>
      <c r="AR30" s="72"/>
      <c r="AS30" s="74"/>
      <c r="AT30" s="27"/>
      <c r="AU30" s="27"/>
      <c r="AV30" s="72"/>
      <c r="AW30" s="72"/>
      <c r="AX30" s="72"/>
      <c r="AY30" s="72"/>
      <c r="AZ30" s="74"/>
      <c r="BA30" s="27"/>
      <c r="BB30" s="27"/>
      <c r="BC30" s="72"/>
      <c r="BD30" s="72"/>
      <c r="BE30" s="72"/>
      <c r="BF30" s="72"/>
      <c r="BG30" s="74"/>
      <c r="BH30" s="27"/>
      <c r="BI30" s="27"/>
      <c r="BJ30" s="72"/>
      <c r="BK30" s="72"/>
      <c r="BL30" s="72"/>
      <c r="BM30" s="72"/>
      <c r="BN30" s="74"/>
    </row>
    <row r="31" s="1" customFormat="1" ht="27" customHeight="1" spans="1:66">
      <c r="A31" s="26"/>
      <c r="B31" s="27" t="s">
        <v>46</v>
      </c>
      <c r="C31" s="27" t="s">
        <v>40</v>
      </c>
      <c r="D31" s="28">
        <v>45545</v>
      </c>
      <c r="E31" s="28">
        <v>45555</v>
      </c>
      <c r="F31" s="30" t="str">
        <f t="shared" si="9"/>
        <v>11天</v>
      </c>
      <c r="G31" s="31">
        <v>0</v>
      </c>
      <c r="H31" s="32" t="s">
        <v>5</v>
      </c>
      <c r="I31" s="27" t="str">
        <f t="shared" si="10"/>
        <v/>
      </c>
      <c r="J31" s="27">
        <f t="shared" si="11"/>
        <v>1</v>
      </c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72"/>
      <c r="AP31" s="72"/>
      <c r="AQ31" s="72"/>
      <c r="AR31" s="72"/>
      <c r="AS31" s="74"/>
      <c r="AT31" s="27"/>
      <c r="AU31" s="27"/>
      <c r="AV31" s="72"/>
      <c r="AW31" s="72"/>
      <c r="AX31" s="72"/>
      <c r="AY31" s="72"/>
      <c r="AZ31" s="74"/>
      <c r="BA31" s="27"/>
      <c r="BB31" s="27"/>
      <c r="BC31" s="72"/>
      <c r="BD31" s="72"/>
      <c r="BE31" s="72"/>
      <c r="BF31" s="72"/>
      <c r="BG31" s="74"/>
      <c r="BH31" s="27"/>
      <c r="BI31" s="27"/>
      <c r="BJ31" s="72"/>
      <c r="BK31" s="72"/>
      <c r="BL31" s="72"/>
      <c r="BM31" s="72"/>
      <c r="BN31" s="74"/>
    </row>
    <row r="32" s="1" customFormat="1" ht="27" customHeight="1" spans="1:66">
      <c r="A32" s="33"/>
      <c r="B32" s="34" t="s">
        <v>46</v>
      </c>
      <c r="C32" s="34" t="s">
        <v>41</v>
      </c>
      <c r="D32" s="35">
        <v>45553</v>
      </c>
      <c r="E32" s="35">
        <v>45596</v>
      </c>
      <c r="F32" s="37" t="str">
        <f t="shared" si="9"/>
        <v>44天</v>
      </c>
      <c r="G32" s="38">
        <v>0</v>
      </c>
      <c r="H32" s="39" t="s">
        <v>5</v>
      </c>
      <c r="I32" s="34" t="str">
        <f t="shared" si="10"/>
        <v/>
      </c>
      <c r="J32" s="34">
        <f t="shared" si="11"/>
        <v>1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75"/>
      <c r="AP32" s="75"/>
      <c r="AQ32" s="75"/>
      <c r="AR32" s="75"/>
      <c r="AS32" s="76"/>
      <c r="AT32" s="34"/>
      <c r="AU32" s="34"/>
      <c r="AV32" s="75"/>
      <c r="AW32" s="75"/>
      <c r="AX32" s="75"/>
      <c r="AY32" s="75"/>
      <c r="AZ32" s="76"/>
      <c r="BA32" s="34"/>
      <c r="BB32" s="34"/>
      <c r="BC32" s="75"/>
      <c r="BD32" s="75"/>
      <c r="BE32" s="75"/>
      <c r="BF32" s="75"/>
      <c r="BG32" s="76"/>
      <c r="BH32" s="34"/>
      <c r="BI32" s="34"/>
      <c r="BJ32" s="75"/>
      <c r="BK32" s="75"/>
      <c r="BL32" s="75"/>
      <c r="BM32" s="75"/>
      <c r="BN32" s="76"/>
    </row>
    <row r="33" s="3" customFormat="1" ht="25.05" customHeight="1" spans="1:65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T33" s="45"/>
      <c r="AU33" s="45"/>
      <c r="AV33" s="45"/>
      <c r="AW33" s="45"/>
      <c r="AX33" s="45"/>
      <c r="AY33" s="45"/>
      <c r="BA33" s="45"/>
      <c r="BB33" s="45"/>
      <c r="BC33" s="45"/>
      <c r="BD33" s="45"/>
      <c r="BE33" s="45"/>
      <c r="BF33" s="45"/>
      <c r="BH33" s="45"/>
      <c r="BI33" s="45"/>
      <c r="BJ33" s="45"/>
      <c r="BK33" s="45"/>
      <c r="BL33" s="45"/>
      <c r="BM33" s="45"/>
    </row>
    <row r="34" spans="1:6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T34" s="46"/>
      <c r="AU34" s="46"/>
      <c r="AV34" s="46"/>
      <c r="AW34" s="46"/>
      <c r="AX34" s="46"/>
      <c r="AY34" s="46"/>
      <c r="BA34" s="46"/>
      <c r="BB34" s="46"/>
      <c r="BC34" s="46"/>
      <c r="BD34" s="46"/>
      <c r="BE34" s="46"/>
      <c r="BF34" s="46"/>
      <c r="BH34" s="46"/>
      <c r="BI34" s="46"/>
      <c r="BJ34" s="46"/>
      <c r="BK34" s="46"/>
      <c r="BL34" s="46"/>
      <c r="BM34" s="46"/>
    </row>
    <row r="36" spans="8:8">
      <c r="H36" s="47"/>
    </row>
  </sheetData>
  <mergeCells count="22">
    <mergeCell ref="M4:O4"/>
    <mergeCell ref="M5:O5"/>
    <mergeCell ref="A8:F8"/>
    <mergeCell ref="G8:J8"/>
    <mergeCell ref="K8:Q8"/>
    <mergeCell ref="R8:X8"/>
    <mergeCell ref="Y8:AE8"/>
    <mergeCell ref="AF8:AL8"/>
    <mergeCell ref="AM8:AS8"/>
    <mergeCell ref="AT8:AZ8"/>
    <mergeCell ref="BA8:BG8"/>
    <mergeCell ref="BH8:BN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</mergeCells>
  <conditionalFormatting sqref="G12">
    <cfRule type="dataBar" priority="10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{0bbf6062-50e8-475d-98cd-86c3755ee1f3}</x14:id>
        </ext>
      </extLst>
    </cfRule>
  </conditionalFormatting>
  <conditionalFormatting sqref="H12">
    <cfRule type="containsText" dxfId="2" priority="8" operator="between" text="已完成">
      <formula>NOT(ISERROR(SEARCH("已完成",H12)))</formula>
    </cfRule>
    <cfRule type="containsText" dxfId="1" priority="7" operator="between" text="进行中">
      <formula>NOT(ISERROR(SEARCH("进行中",H12)))</formula>
    </cfRule>
    <cfRule type="containsText" dxfId="0" priority="6" operator="between" text="未开始">
      <formula>NOT(ISERROR(SEARCH("未开始",H12)))</formula>
    </cfRule>
  </conditionalFormatting>
  <conditionalFormatting sqref="I12">
    <cfRule type="iconSet" priority="11">
      <iconSet iconSet="3Symbols2" showValue="0">
        <cfvo type="percent" val="0"/>
        <cfvo type="num" val="0"/>
        <cfvo type="num" val="0"/>
      </iconSet>
    </cfRule>
  </conditionalFormatting>
  <conditionalFormatting sqref="K12:AS12">
    <cfRule type="expression" dxfId="3" priority="12">
      <formula>AND(K$10&gt;=$D12,K$10&lt;=$E12)</formula>
    </cfRule>
  </conditionalFormatting>
  <conditionalFormatting sqref="AT12:AZ12">
    <cfRule type="expression" dxfId="3" priority="5">
      <formula>AND(AT$10&gt;=$D12,AT$10&lt;=$E12)</formula>
    </cfRule>
  </conditionalFormatting>
  <conditionalFormatting sqref="BA12:BG12">
    <cfRule type="expression" dxfId="3" priority="4">
      <formula>AND(BA$10&gt;=$D12,BA$10&lt;=$E12)</formula>
    </cfRule>
  </conditionalFormatting>
  <conditionalFormatting sqref="BH12:BN12">
    <cfRule type="expression" dxfId="3" priority="1">
      <formula>AND(BH$10&gt;=$D12,BH$10&lt;=$E12)</formula>
    </cfRule>
  </conditionalFormatting>
  <conditionalFormatting sqref="G22">
    <cfRule type="dataBar" priority="19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{d0eeba10-b3a4-4afa-adb4-6a8b793d23a4}</x14:id>
        </ext>
      </extLst>
    </cfRule>
  </conditionalFormatting>
  <conditionalFormatting sqref="H22">
    <cfRule type="containsText" dxfId="0" priority="15" operator="between" text="未开始">
      <formula>NOT(ISERROR(SEARCH("未开始",H22)))</formula>
    </cfRule>
    <cfRule type="containsText" dxfId="1" priority="16" operator="between" text="进行中">
      <formula>NOT(ISERROR(SEARCH("进行中",H22)))</formula>
    </cfRule>
    <cfRule type="containsText" dxfId="2" priority="17" operator="between" text="已完成">
      <formula>NOT(ISERROR(SEARCH("已完成",H22)))</formula>
    </cfRule>
  </conditionalFormatting>
  <conditionalFormatting sqref="I22">
    <cfRule type="iconSet" priority="20">
      <iconSet iconSet="3Symbols2" showValue="0">
        <cfvo type="percent" val="0"/>
        <cfvo type="num" val="0"/>
        <cfvo type="num" val="0"/>
      </iconSet>
    </cfRule>
  </conditionalFormatting>
  <conditionalFormatting sqref="K22:AS22">
    <cfRule type="expression" dxfId="3" priority="21">
      <formula>AND(K$10&gt;=$D22,K$10&lt;=$E22)</formula>
    </cfRule>
  </conditionalFormatting>
  <conditionalFormatting sqref="AT22:AZ22">
    <cfRule type="expression" dxfId="3" priority="14">
      <formula>AND(AT$10&gt;=$D22,AT$10&lt;=$E22)</formula>
    </cfRule>
  </conditionalFormatting>
  <conditionalFormatting sqref="BA22:BG22">
    <cfRule type="expression" dxfId="3" priority="13">
      <formula>AND(BA$10&gt;=$D22,BA$10&lt;=$E22)</formula>
    </cfRule>
  </conditionalFormatting>
  <conditionalFormatting sqref="BH22:BN22">
    <cfRule type="expression" dxfId="3" priority="2">
      <formula>AND(BH$10&gt;=$D22,BH$10&lt;=$E22)</formula>
    </cfRule>
  </conditionalFormatting>
  <conditionalFormatting sqref="E3:E5">
    <cfRule type="dataBar" priority="27">
      <dataBar>
        <cfvo type="min"/>
        <cfvo type="max"/>
        <color rgb="FF92DFCB"/>
      </dataBar>
      <extLst>
        <ext xmlns:x14="http://schemas.microsoft.com/office/spreadsheetml/2009/9/main" uri="{B025F937-C7B1-47D3-B67F-A62EFF666E3E}">
          <x14:id>{791be655-2018-480a-b3d5-b662eb1927fb}</x14:id>
        </ext>
      </extLst>
    </cfRule>
  </conditionalFormatting>
  <conditionalFormatting sqref="G13:G21 G23:G32">
    <cfRule type="dataBar" priority="29">
      <dataBar>
        <cfvo type="num" val="0"/>
        <cfvo type="num" val="1"/>
        <color rgb="FF92DFCB"/>
      </dataBar>
      <extLst>
        <ext xmlns:x14="http://schemas.microsoft.com/office/spreadsheetml/2009/9/main" uri="{B025F937-C7B1-47D3-B67F-A62EFF666E3E}">
          <x14:id>{6cce52fe-45b6-4519-bc15-300f9f42f92b}</x14:id>
        </ext>
      </extLst>
    </cfRule>
  </conditionalFormatting>
  <conditionalFormatting sqref="H13:H21 H23:H32">
    <cfRule type="containsText" dxfId="0" priority="24" operator="between" text="未开始">
      <formula>NOT(ISERROR(SEARCH("未开始",H13)))</formula>
    </cfRule>
    <cfRule type="containsText" dxfId="1" priority="25" operator="between" text="进行中">
      <formula>NOT(ISERROR(SEARCH("进行中",H13)))</formula>
    </cfRule>
    <cfRule type="containsText" dxfId="2" priority="26" operator="between" text="已完成">
      <formula>NOT(ISERROR(SEARCH("已完成",H13)))</formula>
    </cfRule>
  </conditionalFormatting>
  <conditionalFormatting sqref="I13:I21 I23:I32">
    <cfRule type="iconSet" priority="30">
      <iconSet iconSet="3Symbols2" showValue="0">
        <cfvo type="percent" val="0"/>
        <cfvo type="num" val="0"/>
        <cfvo type="num" val="0"/>
      </iconSet>
    </cfRule>
  </conditionalFormatting>
  <conditionalFormatting sqref="K13:AS21 K23:AS32">
    <cfRule type="expression" dxfId="3" priority="31">
      <formula>AND(K$10&gt;=$D13,K$10&lt;=$E13)</formula>
    </cfRule>
  </conditionalFormatting>
  <conditionalFormatting sqref="AT13:AZ21 AT23:AZ32">
    <cfRule type="expression" dxfId="3" priority="23">
      <formula>AND(AT$10&gt;=$D13,AT$10&lt;=$E13)</formula>
    </cfRule>
  </conditionalFormatting>
  <conditionalFormatting sqref="BA13:BG21 BA23:BG32">
    <cfRule type="expression" dxfId="3" priority="22">
      <formula>AND(BA$10&gt;=$D13,BA$10&lt;=$E13)</formula>
    </cfRule>
  </conditionalFormatting>
  <conditionalFormatting sqref="BH13:BN21 BH23:BN32">
    <cfRule type="expression" dxfId="3" priority="3">
      <formula>AND(BH$10&gt;=$D13,BH$10&lt;=$E13)</formula>
    </cfRule>
  </conditionalFormatting>
  <dataValidations count="1">
    <dataValidation type="list" allowBlank="1" showInputMessage="1" showErrorMessage="1" sqref="H12:H32">
      <formula1>"未开始,进行中,已完成"</formula1>
    </dataValidation>
  </dataValidations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bf6062-50e8-475d-98cd-86c3755ee1f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G12</xm:sqref>
        </x14:conditionalFormatting>
        <x14:conditionalFormatting xmlns:xm="http://schemas.microsoft.com/office/excel/2006/main">
          <x14:cfRule type="iconSet" priority="9" id="{2ce4fb62-41d9-44c7-ba6d-e32e794cc50d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J12</xm:sqref>
        </x14:conditionalFormatting>
        <x14:conditionalFormatting xmlns:xm="http://schemas.microsoft.com/office/excel/2006/main">
          <x14:cfRule type="dataBar" id="{d0eeba10-b3a4-4afa-adb4-6a8b793d23a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G22</xm:sqref>
        </x14:conditionalFormatting>
        <x14:conditionalFormatting xmlns:xm="http://schemas.microsoft.com/office/excel/2006/main">
          <x14:cfRule type="iconSet" priority="18" id="{6204888c-2640-47fc-9e00-1b99c6e62257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J22</xm:sqref>
        </x14:conditionalFormatting>
        <x14:conditionalFormatting xmlns:xm="http://schemas.microsoft.com/office/excel/2006/main">
          <x14:cfRule type="dataBar" id="{791be655-2018-480a-b3d5-b662eb1927fb}">
            <x14:dataBar minLength="0" maxLength="100" border="1" negativeBarBorderColorSameAsPositive="0">
              <x14:cfvo type="autoMin"/>
              <x14:cfvo type="autoMax"/>
              <x14:borderColor rgb="FF92DFCB"/>
              <x14:negativeFillColor rgb="FFFF0000"/>
              <x14:negativeBorderColor rgb="FFFF0000"/>
              <x14:axisColor rgb="FF000000"/>
            </x14:dataBar>
          </x14:cfRule>
          <xm:sqref>E3:E5</xm:sqref>
        </x14:conditionalFormatting>
        <x14:conditionalFormatting xmlns:xm="http://schemas.microsoft.com/office/excel/2006/main">
          <x14:cfRule type="dataBar" id="{6cce52fe-45b6-4519-bc15-300f9f42f92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92DFCB"/>
              <x14:negativeFillColor rgb="FFFF0000"/>
              <x14:negativeBorderColor rgb="FFFF0000"/>
              <x14:axisColor rgb="FF000000"/>
            </x14:dataBar>
          </x14:cfRule>
          <xm:sqref>G13:G21 G23:G32</xm:sqref>
        </x14:conditionalFormatting>
        <x14:conditionalFormatting xmlns:xm="http://schemas.microsoft.com/office/excel/2006/main">
          <x14:cfRule type="iconSet" priority="28" id="{8e31ab7c-80dc-4152-b6e5-b79080b8805e}">
            <x14:iconSet iconSet="3TrafficLights2" custom="1" showValue="0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TrafficLights2" iconId="0"/>
              <x14:cfIcon iconSet="3TrafficLights2" iconId="1"/>
              <x14:cfIcon iconSet="3TrafficLights1" iconId="0"/>
            </x14:iconSet>
          </x14:cfRule>
          <xm:sqref>J13:J21 J23:J32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使用指南(必看) </vt:lpstr>
      <vt:lpstr>甘特图样式1</vt:lpstr>
      <vt:lpstr>甘特图样式2</vt:lpstr>
      <vt:lpstr>甘特图样式3</vt:lpstr>
      <vt:lpstr>甘特图样式4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丽文</dc:creator>
  <cp:lastModifiedBy>思华年</cp:lastModifiedBy>
  <dcterms:created xsi:type="dcterms:W3CDTF">2015-06-05T18:19:00Z</dcterms:created>
  <dcterms:modified xsi:type="dcterms:W3CDTF">2025-05-15T04:52:03Z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879ABF9A02AF403EA3F8E9301FDA4266_13</vt:lpwstr>
  </property>
  <property fmtid="{D5CDD505-2E9C-101B-9397-08002B2CF9AE}" pid="3" name="KSOProductBuildVer">
    <vt:lpwstr>2052-12.1.0.20784</vt:lpwstr>
  </property>
</Properties>
</file>